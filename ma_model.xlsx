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heaarora/claude-projects/resume-to-portfolio/"/>
    </mc:Choice>
  </mc:AlternateContent>
  <xr:revisionPtr revIDLastSave="0" documentId="13_ncr:1_{0F07FAE6-6C4B-A243-B775-EAA8AE82DCE0}" xr6:coauthVersionLast="47" xr6:coauthVersionMax="47" xr10:uidLastSave="{00000000-0000-0000-0000-000000000000}"/>
  <bookViews>
    <workbookView xWindow="0" yWindow="600" windowWidth="28800" windowHeight="15780" activeTab="6" xr2:uid="{00000000-000D-0000-FFFF-FFFF00000000}"/>
  </bookViews>
  <sheets>
    <sheet name="Cover" sheetId="1" r:id="rId1"/>
    <sheet name="Deal Overview" sheetId="2" r:id="rId2"/>
    <sheet name="Alphabet Financials" sheetId="3" r:id="rId3"/>
    <sheet name="DCF Model" sheetId="4" r:id="rId4"/>
    <sheet name="Synergies" sheetId="5" r:id="rId5"/>
    <sheet name="Pro Forma" sheetId="6" r:id="rId6"/>
    <sheet name="Comps &amp; Ris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B16" i="4"/>
  <c r="B21" i="4" l="1"/>
  <c r="B25" i="4" s="1"/>
  <c r="B28" i="4"/>
  <c r="B27" i="4"/>
  <c r="C16" i="4"/>
  <c r="B26" i="4"/>
  <c r="C21" i="4" l="1"/>
  <c r="C25" i="4" s="1"/>
  <c r="C29" i="4" s="1"/>
  <c r="C30" i="4" s="1"/>
  <c r="C26" i="4"/>
  <c r="C27" i="4"/>
  <c r="D16" i="4"/>
  <c r="C28" i="4"/>
  <c r="B29" i="4"/>
  <c r="B30" i="4" s="1"/>
  <c r="E16" i="4" l="1"/>
  <c r="D28" i="4"/>
  <c r="D21" i="4"/>
  <c r="D25" i="4" s="1"/>
  <c r="D26" i="4"/>
  <c r="D27" i="4"/>
  <c r="E21" i="4" l="1"/>
  <c r="E25" i="4" s="1"/>
  <c r="E28" i="4"/>
  <c r="F16" i="4"/>
  <c r="E26" i="4"/>
  <c r="E27" i="4"/>
  <c r="D29" i="4"/>
  <c r="D30" i="4" s="1"/>
  <c r="F21" i="4" l="1"/>
  <c r="F25" i="4" s="1"/>
  <c r="F26" i="4"/>
  <c r="F27" i="4"/>
  <c r="F28" i="4"/>
  <c r="B34" i="4"/>
  <c r="B35" i="4"/>
  <c r="B36" i="4"/>
  <c r="E29" i="4"/>
  <c r="E30" i="4" s="1"/>
  <c r="F29" i="4" l="1"/>
  <c r="F30" i="4" s="1"/>
  <c r="B33" i="4" l="1"/>
  <c r="B37" i="4"/>
  <c r="B39" i="4" s="1"/>
</calcChain>
</file>

<file path=xl/sharedStrings.xml><?xml version="1.0" encoding="utf-8"?>
<sst xmlns="http://schemas.openxmlformats.org/spreadsheetml/2006/main" count="554" uniqueCount="416">
  <si>
    <t>ALPHABET × WIZ  |  M&amp;A TRANSACTION MODEL</t>
  </si>
  <si>
    <t>Senior Analyst Deal Model  |  $32B All-Cash Acquisition  |  Announced Mar 18 2025  |  Closed Mar 11 2026</t>
  </si>
  <si>
    <t xml:space="preserve">  DEAL SNAPSHOT</t>
  </si>
  <si>
    <t>Acquirer</t>
  </si>
  <si>
    <t>Alphabet Inc. (GOOGL/GOOG)</t>
  </si>
  <si>
    <t>Target</t>
  </si>
  <si>
    <t>Wiz, Inc.  —  CNAPP / Cloud Security Leader</t>
  </si>
  <si>
    <t>Deal Value (EV)</t>
  </si>
  <si>
    <t>$32,000M  ($32 Billion)</t>
  </si>
  <si>
    <t>Structure</t>
  </si>
  <si>
    <t>All-cash; no new shares issued</t>
  </si>
  <si>
    <t>Announced</t>
  </si>
  <si>
    <t>March 18, 2025</t>
  </si>
  <si>
    <t>Closed</t>
  </si>
  <si>
    <t>March 11, 2026</t>
  </si>
  <si>
    <t>Wiz ARR at Announcement</t>
  </si>
  <si>
    <t>~$500M  (FY2025E baseline)</t>
  </si>
  <si>
    <t>EV / ARR Multiple</t>
  </si>
  <si>
    <t>64.0x  (record for cybersecurity)</t>
  </si>
  <si>
    <t>Acquisition Premium</t>
  </si>
  <si>
    <t>2.67×  vs. Series E valuation of $12B</t>
  </si>
  <si>
    <t>Cash Coverage</t>
  </si>
  <si>
    <t>29.1%  of $110.2B Alphabet YE2024 cash</t>
  </si>
  <si>
    <t>Break-up Fee</t>
  </si>
  <si>
    <t>$3,200M  (10% of deal value)</t>
  </si>
  <si>
    <t>EPS Impact</t>
  </si>
  <si>
    <t>~(7.3%)  dilutive in Year 1 (lost interest)</t>
  </si>
  <si>
    <t>Goodwill</t>
  </si>
  <si>
    <t>$22,000M  (PPA residual)</t>
  </si>
  <si>
    <t>Identified Intangibles</t>
  </si>
  <si>
    <t>$9,000M  (Tech $5B + Customers $3B + Brand $1B)</t>
  </si>
  <si>
    <t>Regulatory</t>
  </si>
  <si>
    <t>DOJ + EC cleared; no conditions</t>
  </si>
  <si>
    <t>Strategic Rationale</t>
  </si>
  <si>
    <t>Extend Google Cloud security; Wiz becomes GCP-native CNAPP</t>
  </si>
  <si>
    <t xml:space="preserve">  SHEET INDEX</t>
  </si>
  <si>
    <t xml:space="preserve">  Sheet 1 – Cover</t>
  </si>
  <si>
    <t>Deal snapshot and model overview</t>
  </si>
  <si>
    <t xml:space="preserve">  Sheet 2 – Deal Overview</t>
  </si>
  <si>
    <t>Wiz ARR milestones, funding rounds, transaction metrics</t>
  </si>
  <si>
    <t xml:space="preserve">  Sheet 3 – Alphabet Financials</t>
  </si>
  <si>
    <t>5-year P&amp;L, margins, balance sheet, cash flow, ratios</t>
  </si>
  <si>
    <t xml:space="preserve">  Sheet 4 – DCF Model</t>
  </si>
  <si>
    <t>Interactive 5-year DCF with live formula cells (2026–2030)</t>
  </si>
  <si>
    <t xml:space="preserve">  Sheet 5 – Synergies</t>
  </si>
  <si>
    <t>Revenue + cost synergy NPV, breakeven ARR analysis</t>
  </si>
  <si>
    <t xml:space="preserve">  Sheet 6 – Pro Forma</t>
  </si>
  <si>
    <t>Combined income statement, balance sheet, EPS accretion</t>
  </si>
  <si>
    <t xml:space="preserve">  Sheet 7 – Comps &amp; Risk</t>
  </si>
  <si>
    <t>Trading comps, M&amp;A comps, risk register</t>
  </si>
  <si>
    <t>Sources: Alphabet 10-K FY2020–2024  |  SEC EDGAR  |  TechCrunch / Crunchbase  |  Bloomberg (approx. FY2024)</t>
  </si>
  <si>
    <t>DEAL OVERVIEW  —  WIZ ACQUISITION</t>
  </si>
  <si>
    <t>Transaction metrics, ARR trajectory, funding history  |  All figures in $M</t>
  </si>
  <si>
    <t xml:space="preserve">  A.  WIZ ARR GROWTH MILESTONES</t>
  </si>
  <si>
    <t>Date</t>
  </si>
  <si>
    <t>ARR ($M)</t>
  </si>
  <si>
    <t>Period</t>
  </si>
  <si>
    <t>Months to Milestone</t>
  </si>
  <si>
    <t>Note</t>
  </si>
  <si>
    <t>Feb-21</t>
  </si>
  <si>
    <t>—</t>
  </si>
  <si>
    <t>Founded Dec-20; first ARR</t>
  </si>
  <si>
    <t>Jul-22</t>
  </si>
  <si>
    <t>18 mo</t>
  </si>
  <si>
    <t>18</t>
  </si>
  <si>
    <t>Fastest SaaS to $100M ARR ever</t>
  </si>
  <si>
    <t>May-23</t>
  </si>
  <si>
    <t>10 mo</t>
  </si>
  <si>
    <t>28</t>
  </si>
  <si>
    <t>Series D at $10B valuation</t>
  </si>
  <si>
    <t>Feb-24</t>
  </si>
  <si>
    <t xml:space="preserve"> 9 mo</t>
  </si>
  <si>
    <t>37</t>
  </si>
  <si>
    <t>Pre-Series E</t>
  </si>
  <si>
    <t>May-24</t>
  </si>
  <si>
    <t xml:space="preserve"> 3 mo</t>
  </si>
  <si>
    <t>40</t>
  </si>
  <si>
    <t>Series E @ $12B valuation</t>
  </si>
  <si>
    <t>Mar-25</t>
  </si>
  <si>
    <t>50</t>
  </si>
  <si>
    <t>Acquisition announced @ $32B</t>
  </si>
  <si>
    <t xml:space="preserve">  B.  WIZ FUNDING HISTORY</t>
  </si>
  <si>
    <t>Round</t>
  </si>
  <si>
    <t>Capital Raised ($M)</t>
  </si>
  <si>
    <t>Post-Money Val ($M)</t>
  </si>
  <si>
    <t>EV/ARR Multiple</t>
  </si>
  <si>
    <t>Notes</t>
  </si>
  <si>
    <t>Ser A</t>
  </si>
  <si>
    <t>Dec-20</t>
  </si>
  <si>
    <t>N/A</t>
  </si>
  <si>
    <t>Seed-stage; Yoav Leitersdorf, Sequoia</t>
  </si>
  <si>
    <t>Ser B1</t>
  </si>
  <si>
    <t>Apr-21</t>
  </si>
  <si>
    <t>Insight, Greenoaks</t>
  </si>
  <si>
    <t>Ser B2</t>
  </si>
  <si>
    <t>May-21</t>
  </si>
  <si>
    <t>Rapid follow-on</t>
  </si>
  <si>
    <t>Ser C</t>
  </si>
  <si>
    <t>Oct-21</t>
  </si>
  <si>
    <t>Sequoia lead; valuation $6B</t>
  </si>
  <si>
    <t>Ser D</t>
  </si>
  <si>
    <t>Feb-23</t>
  </si>
  <si>
    <t>28.5x</t>
  </si>
  <si>
    <t>At $10B valuation</t>
  </si>
  <si>
    <t>Ser E</t>
  </si>
  <si>
    <t>24.0x</t>
  </si>
  <si>
    <t>Most valuable US startup at IPO-equivalent val</t>
  </si>
  <si>
    <t>Acquisition</t>
  </si>
  <si>
    <t>64.0x</t>
  </si>
  <si>
    <t>All-cash; record cybersecurity transaction</t>
  </si>
  <si>
    <t xml:space="preserve">  C.  KEY TRANSACTION METRICS</t>
  </si>
  <si>
    <t>Metric</t>
  </si>
  <si>
    <t>Value</t>
  </si>
  <si>
    <t>Benchmark</t>
  </si>
  <si>
    <t>Context</t>
  </si>
  <si>
    <t>Enterprise Value</t>
  </si>
  <si>
    <t>$32,000M</t>
  </si>
  <si>
    <t>Largest all-cash tech acquisition since 2020</t>
  </si>
  <si>
    <t>EV / ARR (Base $500M)</t>
  </si>
  <si>
    <t>Peers: 8–25x</t>
  </si>
  <si>
    <t>Record for cybersecurity; Ser E was 24x ARR</t>
  </si>
  <si>
    <t>EV / ARR (Bull $650M)</t>
  </si>
  <si>
    <t>49.2x</t>
  </si>
  <si>
    <t>Bull case; upside if ARR outperforms</t>
  </si>
  <si>
    <t>EV / ARR (Bear $380M)</t>
  </si>
  <si>
    <t>84.2x</t>
  </si>
  <si>
    <t>Bear case; deal looks expensive</t>
  </si>
  <si>
    <t>Premium vs Series E</t>
  </si>
  <si>
    <t>2.67×</t>
  </si>
  <si>
    <t>$32B / $12B Series E valuation</t>
  </si>
  <si>
    <t>Cash as % of Alphabet Cash</t>
  </si>
  <si>
    <t>29.1%</t>
  </si>
  <si>
    <t>$32B / $110.2B Alphabet YE2024 cash</t>
  </si>
  <si>
    <t>$3,200M</t>
  </si>
  <si>
    <t>10%</t>
  </si>
  <si>
    <t>10% of deal value; standard for mega-deals</t>
  </si>
  <si>
    <t>Lost Interest Income</t>
  </si>
  <si>
    <t>$1,600M/yr</t>
  </si>
  <si>
    <t>5%</t>
  </si>
  <si>
    <t>$32B × 5% yield → $1,338M after-tax</t>
  </si>
  <si>
    <t>Goodwill Booked</t>
  </si>
  <si>
    <t>$22,000M</t>
  </si>
  <si>
    <t>PPA: $32B − $9B intangibles − $1B tangible</t>
  </si>
  <si>
    <t>$9,000M</t>
  </si>
  <si>
    <t>Tech IP $5B + Customers $3B + Brand $1B</t>
  </si>
  <si>
    <t>Diluted EPS Impact (Yr 1)</t>
  </si>
  <si>
    <t>~(7.3%)</t>
  </si>
  <si>
    <t>Lost interest; pre-synergy basis</t>
  </si>
  <si>
    <t>ALPHABET INC. — 5-YEAR FINANCIAL SUMMARY</t>
  </si>
  <si>
    <t>FY2020–FY2024  |  All figures $M unless noted  |  Source: Alphabet 10-K, SEC EDGAR</t>
  </si>
  <si>
    <t xml:space="preserve">  A.  INCOME STATEMENT  ($M)</t>
  </si>
  <si>
    <t>2020</t>
  </si>
  <si>
    <t>2021</t>
  </si>
  <si>
    <t>2022</t>
  </si>
  <si>
    <t>2023</t>
  </si>
  <si>
    <t>2024</t>
  </si>
  <si>
    <t>Total Revenue</t>
  </si>
  <si>
    <t>Cost of Revenue</t>
  </si>
  <si>
    <t>Gross Profit</t>
  </si>
  <si>
    <t>R&amp;D Expense</t>
  </si>
  <si>
    <t>Operating Income</t>
  </si>
  <si>
    <t>Net Income</t>
  </si>
  <si>
    <t>Google Cloud Rev</t>
  </si>
  <si>
    <t xml:space="preserve">  B.  MARGIN ANALYSIS  (%)</t>
  </si>
  <si>
    <t>Gross Margin</t>
  </si>
  <si>
    <t>Operating Margin</t>
  </si>
  <si>
    <t>Net Margin</t>
  </si>
  <si>
    <t>EBITDA Margin</t>
  </si>
  <si>
    <t>FCF Margin</t>
  </si>
  <si>
    <t>Cloud Op Margin</t>
  </si>
  <si>
    <t xml:space="preserve">  C.  BALANCE SHEET KEY ITEMS  ($M)</t>
  </si>
  <si>
    <t>Cash &amp; Marketable Securities</t>
  </si>
  <si>
    <t>Total Assets</t>
  </si>
  <si>
    <t>Long-Term Debt</t>
  </si>
  <si>
    <t>Total Equity</t>
  </si>
  <si>
    <t>Market Capitalization</t>
  </si>
  <si>
    <t xml:space="preserve">  D.  CASH FLOW  ($M)</t>
  </si>
  <si>
    <t>Operating Cash Flow</t>
  </si>
  <si>
    <t>Capital Expenditures</t>
  </si>
  <si>
    <t>Free Cash Flow</t>
  </si>
  <si>
    <t>Share Buybacks</t>
  </si>
  <si>
    <t xml:space="preserve">  E.  VALUATION RATIOS</t>
  </si>
  <si>
    <t>P/E (Trailing)</t>
  </si>
  <si>
    <t>EV / Revenue</t>
  </si>
  <si>
    <t>EV / EBITDA</t>
  </si>
  <si>
    <t>Return on Equity</t>
  </si>
  <si>
    <t>ALPHABET × WIZ  —  5-YEAR DCF VALUATION MODEL</t>
  </si>
  <si>
    <t>Unlevered FCF  |  Explicit 2026–2030  |  Blue cells are editable inputs — change them to see live output</t>
  </si>
  <si>
    <t xml:space="preserve">  A.  KEY ASSUMPTIONS  (Blue = editable — all outputs update automatically)</t>
  </si>
  <si>
    <t xml:space="preserve">  DCF ASSUMPTIONS</t>
  </si>
  <si>
    <t>WACC (Discount Rate)</t>
  </si>
  <si>
    <t>Adjustable 8–16%</t>
  </si>
  <si>
    <t>DCF Approach</t>
  </si>
  <si>
    <t>Unlevered FCF</t>
  </si>
  <si>
    <t>Terminal EV / Revenue Multiple</t>
  </si>
  <si>
    <t>Adjustable 6–25x (cybersec SaaS)</t>
  </si>
  <si>
    <t>Forecast Period</t>
  </si>
  <si>
    <t>5 years (2026-30)</t>
  </si>
  <si>
    <t>Starting ARR 2025E ($M)</t>
  </si>
  <si>
    <t>Base $500M  |  Bull $650M  |  Bear $380M</t>
  </si>
  <si>
    <t>WACC (Base)</t>
  </si>
  <si>
    <t>Tax Rate</t>
  </si>
  <si>
    <t>Terminal Multiple</t>
  </si>
  <si>
    <t>12×</t>
  </si>
  <si>
    <t>D&amp;A as % of Revenue</t>
  </si>
  <si>
    <t>Base ARR (2025E)</t>
  </si>
  <si>
    <t>CapEx as % of Revenue</t>
  </si>
  <si>
    <t>Δ NWC as % of Revenue</t>
  </si>
  <si>
    <t>D&amp;A % Rev</t>
  </si>
  <si>
    <t>CapEx % Rev</t>
  </si>
  <si>
    <t xml:space="preserve">  B.  REVENUE BUILD  (Blue growth rate cells are editable)</t>
  </si>
  <si>
    <t>ΔNWC % Rev</t>
  </si>
  <si>
    <t>2026E</t>
  </si>
  <si>
    <t>2027E</t>
  </si>
  <si>
    <t>2028E</t>
  </si>
  <si>
    <t>2029E</t>
  </si>
  <si>
    <t>2030E</t>
  </si>
  <si>
    <t>NPV (Base)</t>
  </si>
  <si>
    <t>YoY Revenue Growth Rate</t>
  </si>
  <si>
    <t>Deal Price</t>
  </si>
  <si>
    <t>ARR / Revenue ($M)</t>
  </si>
  <si>
    <t>WACC to justify</t>
  </si>
  <si>
    <t>~7.2%</t>
  </si>
  <si>
    <t>Multiple to justify</t>
  </si>
  <si>
    <t>~23x</t>
  </si>
  <si>
    <t xml:space="preserve">  C.  EBIT MARGIN BUILD  (Blue margin cells are editable)</t>
  </si>
  <si>
    <t>EBIT Margin</t>
  </si>
  <si>
    <t>EBIT ($M)</t>
  </si>
  <si>
    <t xml:space="preserve">  D.  FREE CASH FLOW BUILD</t>
  </si>
  <si>
    <t>Line Item</t>
  </si>
  <si>
    <t>NOPAT  [= EBIT × (1 − Tax)]</t>
  </si>
  <si>
    <t>(+) D&amp;A  [= Rev × D&amp;A%]</t>
  </si>
  <si>
    <t>(−) CapEx  [= Rev × CapEx%]</t>
  </si>
  <si>
    <t>(−) Δ NWC  [= Rev × NWC%]</t>
  </si>
  <si>
    <t>PV of FCF  [FCF / (1+WACC)^t]</t>
  </si>
  <si>
    <t xml:space="preserve">  E.  VALUATION BRIDGE  (all outputs update when you change blue cells)</t>
  </si>
  <si>
    <t>Sum of PV (FCFs yr 2026–2030)</t>
  </si>
  <si>
    <t>Terminal Revenue (2030E)</t>
  </si>
  <si>
    <t>Terminal Value  [Rev × Multiple]</t>
  </si>
  <si>
    <t>PV of Terminal Value</t>
  </si>
  <si>
    <t>Enterprise Value (NPV)</t>
  </si>
  <si>
    <t>Over / (Under) Value vs Deal</t>
  </si>
  <si>
    <t xml:space="preserve">  F.  SENSITIVITY TABLE — NPV ($M) by WACC × Terminal Multiple</t>
  </si>
  <si>
    <t>Static sensitivity  |  Base ARR $500M  |  Green ≥ $32,000M  |  Red &lt; $32,000M</t>
  </si>
  <si>
    <t>WACC ↓ / Multiple →</t>
  </si>
  <si>
    <t>8x</t>
  </si>
  <si>
    <t>10x</t>
  </si>
  <si>
    <t>12x</t>
  </si>
  <si>
    <t>15x</t>
  </si>
  <si>
    <t>18x</t>
  </si>
  <si>
    <t>8%</t>
  </si>
  <si>
    <t>9%</t>
  </si>
  <si>
    <t>11%</t>
  </si>
  <si>
    <t>12%</t>
  </si>
  <si>
    <t>SYNERGY ANALYSIS  —  ALPHABET × WIZ</t>
  </si>
  <si>
    <t>Revenue cross-sell + Cost consolidation  |  NPV @ 10% WACC  |  Breakeven ARR analysis</t>
  </si>
  <si>
    <t xml:space="preserve">  A.  REVENUE SYNERGIES  — Cross-sell Wiz into GCP Customer Base</t>
  </si>
  <si>
    <t xml:space="preserve">  SYNERGY ASSUMPTIONS</t>
  </si>
  <si>
    <t>Year 1</t>
  </si>
  <si>
    <t>Year 2</t>
  </si>
  <si>
    <t>Year 3</t>
  </si>
  <si>
    <t>GCP Ent. Customers</t>
  </si>
  <si>
    <t>GCP Enterprise Customers (est.)</t>
  </si>
  <si>
    <t>Cross-sell %</t>
  </si>
  <si>
    <t>Cross-sell Penetration (Base)</t>
  </si>
  <si>
    <t>Avg Wiz ACV ($M)</t>
  </si>
  <si>
    <t>Average Wiz ACV ($M)</t>
  </si>
  <si>
    <t>Rev. synergy SS ($M)</t>
  </si>
  <si>
    <t>Steady-State Annual Revenue Synergy ($M)</t>
  </si>
  <si>
    <t>R&amp;D base ($M)</t>
  </si>
  <si>
    <t>Revenue Synergy Ramp ($M)</t>
  </si>
  <si>
    <t>Cost synergy %</t>
  </si>
  <si>
    <t>Cost synergy SS ($M)</t>
  </si>
  <si>
    <t xml:space="preserve">  B.  COST SYNERGIES  — Infrastructure + R&amp;D Consolidation + G&amp;A</t>
  </si>
  <si>
    <t>WACC</t>
  </si>
  <si>
    <t>Total NPV synergies ($M)</t>
  </si>
  <si>
    <t>Alphabet R&amp;D Base (FY2024 $M)</t>
  </si>
  <si>
    <t>Adj. deal cost ($M)</t>
  </si>
  <si>
    <t>Synergy % of R&amp;D Base</t>
  </si>
  <si>
    <t>Steady-State Annual Cost Savings ($M)</t>
  </si>
  <si>
    <t>Cost Synergy Ramp ($M)</t>
  </si>
  <si>
    <t>Total Synergy (Rev + Cost) ($M)</t>
  </si>
  <si>
    <t xml:space="preserve">  C.  NPV OF SYNERGIES  (@10% WACC)</t>
  </si>
  <si>
    <t>Formula / Note</t>
  </si>
  <si>
    <t>PV of 3-Year Synergy Ramp ($M)</t>
  </si>
  <si>
    <t>PV = Σ Syn_yr / (1+10%)^yr</t>
  </si>
  <si>
    <t>PV of Perpetuity (yr 3 onwards) ($M)</t>
  </si>
  <si>
    <t>TOTAL NPV of Synergies ($M)</t>
  </si>
  <si>
    <t>Ramp PV + Perpetuity PV</t>
  </si>
  <si>
    <t>Deal Price ($M)</t>
  </si>
  <si>
    <t>Synergy-Adjusted Deal Cost ($M)</t>
  </si>
  <si>
    <t>$32B − NPV Synergies</t>
  </si>
  <si>
    <t>Required Wiz ARR 2030 (adj.) ($M)</t>
  </si>
  <si>
    <t>Adj. Cost × (1+10%)^5 / 12x terminal</t>
  </si>
  <si>
    <t>Required Wiz ARR 2030 (no syn.) ($M)</t>
  </si>
  <si>
    <t>$32B × (1+10%)^5 / 12x terminal</t>
  </si>
  <si>
    <t>Year</t>
  </si>
  <si>
    <t>Revenue Synergy</t>
  </si>
  <si>
    <t>Cost Synergy</t>
  </si>
  <si>
    <t>PRO FORMA FINANCIAL STATEMENTS  —  ALPHABET × WIZ</t>
  </si>
  <si>
    <t>Year-1 combined financials  |  All-cash; no new shares  |  Wiz ARR $500M baseline</t>
  </si>
  <si>
    <t xml:space="preserve">  A.  PRO FORMA INCOME STATEMENT  ($M)</t>
  </si>
  <si>
    <t>Line Item ($M)</t>
  </si>
  <si>
    <t>Alphabet FY2024</t>
  </si>
  <si>
    <t>Wiz (Est.)</t>
  </si>
  <si>
    <t>Adjustments</t>
  </si>
  <si>
    <t>Pro Forma</t>
  </si>
  <si>
    <t>Revenue</t>
  </si>
  <si>
    <t xml:space="preserve">  Gross Margin</t>
  </si>
  <si>
    <t>58.1%</t>
  </si>
  <si>
    <t>70.0%</t>
  </si>
  <si>
    <t>58.2%</t>
  </si>
  <si>
    <t>R&amp;D</t>
  </si>
  <si>
    <t>Sales &amp; Marketing</t>
  </si>
  <si>
    <t>G&amp;A</t>
  </si>
  <si>
    <t>($200M one-time integration)</t>
  </si>
  <si>
    <t xml:space="preserve">  Op Margin</t>
  </si>
  <si>
    <t>32.1%</t>
  </si>
  <si>
    <t>-20.0%</t>
  </si>
  <si>
    <t>32.0%</t>
  </si>
  <si>
    <t>Other Income/(Exp)</t>
  </si>
  <si>
    <t>($1,600M lost interest @ 5%)</t>
  </si>
  <si>
    <t>Pre-Tax Income</t>
  </si>
  <si>
    <t>Income Taxes</t>
  </si>
  <si>
    <t xml:space="preserve">  B.  EPS ACCRETION / (DILUTION) ANALYSIS</t>
  </si>
  <si>
    <t>Adjustment</t>
  </si>
  <si>
    <t>Diluted Shares (M)</t>
  </si>
  <si>
    <t>—  (all-cash; no new shares)</t>
  </si>
  <si>
    <t>Diluted EPS</t>
  </si>
  <si>
    <t>EPS Impact ($/share)</t>
  </si>
  <si>
    <t>-0.13 / share</t>
  </si>
  <si>
    <t>EPS Impact (%)</t>
  </si>
  <si>
    <t>-1.6%  (dilutive Yr 1)</t>
  </si>
  <si>
    <t>Lost Interest (after-tax)</t>
  </si>
  <si>
    <t>($1,338M)</t>
  </si>
  <si>
    <t>Integration Cost (after-tax)</t>
  </si>
  <si>
    <t>($167M) one-time</t>
  </si>
  <si>
    <t>Break-even Timeline</t>
  </si>
  <si>
    <t>~7–9 yrs (synergies + Wiz growth)</t>
  </si>
  <si>
    <t xml:space="preserve">  C.  BALANCE SHEET IMPACT  (Selected Line Items, $M)</t>
  </si>
  <si>
    <t>Pre-Deal (YE2024)</t>
  </si>
  <si>
    <t>Transaction Impact</t>
  </si>
  <si>
    <t>Post-Deal (Est.)</t>
  </si>
  <si>
    <t>Cash &amp; Securities</t>
  </si>
  <si>
    <t>$32B cash outflow</t>
  </si>
  <si>
    <t>Accounts Receivable</t>
  </si>
  <si>
    <t>+Wiz AR</t>
  </si>
  <si>
    <t>Total Current Assets</t>
  </si>
  <si>
    <t>Net of cash outflow</t>
  </si>
  <si>
    <t>PP&amp;E</t>
  </si>
  <si>
    <t>+Wiz PP&amp;E</t>
  </si>
  <si>
    <t>Tech $5B+Cust $3B+Brand $1B</t>
  </si>
  <si>
    <t>TOTAL ASSETS</t>
  </si>
  <si>
    <t>Roughly flat (PPA offsets cash)</t>
  </si>
  <si>
    <t>Total Liabilities</t>
  </si>
  <si>
    <t>+Wiz assumed liabilities</t>
  </si>
  <si>
    <t>Goodwill tax basis + misc</t>
  </si>
  <si>
    <t>TRADING COMPS  /  M&amp;A COMPS  /  RISK REGISTER</t>
  </si>
  <si>
    <t>Cybersecurity peer group  |  Select M&amp;A transactions  |  Deal risk matrix</t>
  </si>
  <si>
    <t xml:space="preserve">  A.  CYBERSECURITY TRADING COMPS  (FY2024 est.)</t>
  </si>
  <si>
    <t>Company</t>
  </si>
  <si>
    <t>Revenue ($M)</t>
  </si>
  <si>
    <t>Rev Growth YoY</t>
  </si>
  <si>
    <t>EV/Revenue</t>
  </si>
  <si>
    <t>Op Margin</t>
  </si>
  <si>
    <t>Palo Alto</t>
  </si>
  <si>
    <t>Peer group – public cybersecurity</t>
  </si>
  <si>
    <t>CrowdStrike</t>
  </si>
  <si>
    <t>Zscaler</t>
  </si>
  <si>
    <t>Fortinet</t>
  </si>
  <si>
    <t>SentinelOne</t>
  </si>
  <si>
    <t>Cloudflare</t>
  </si>
  <si>
    <t>Okta</t>
  </si>
  <si>
    <t>★  Alphabet × Wiz (Deal)</t>
  </si>
  <si>
    <t>Record deal; 64x ARR vs peer median ~12x</t>
  </si>
  <si>
    <t>Peer Median</t>
  </si>
  <si>
    <t>Median EV/Rev of peer set</t>
  </si>
  <si>
    <t xml:space="preserve">  B.  SELECT M&amp;A TRANSACTION COMPS</t>
  </si>
  <si>
    <t>Transaction</t>
  </si>
  <si>
    <t>EV ($M)</t>
  </si>
  <si>
    <t>EV/Rev Multiple</t>
  </si>
  <si>
    <t>Alphabet × Wiz</t>
  </si>
  <si>
    <t>$500M ARR; CNAPP leader; record deal</t>
  </si>
  <si>
    <t>PANW × CyberArk</t>
  </si>
  <si>
    <t>Identity sec; $1.4B rev</t>
  </si>
  <si>
    <t>Cisco × Splunk</t>
  </si>
  <si>
    <t>SIEM; $3.7B rev</t>
  </si>
  <si>
    <t>Alphabet × Mandiant</t>
  </si>
  <si>
    <t>Threat intel; $660M rev</t>
  </si>
  <si>
    <t>Broadcom × Symantec</t>
  </si>
  <si>
    <t>Enterprise security portfolio</t>
  </si>
  <si>
    <t xml:space="preserve">  C.  DEAL RISK REGISTER</t>
  </si>
  <si>
    <t>Risk Category</t>
  </si>
  <si>
    <t>Severity (1-5)</t>
  </si>
  <si>
    <t>Likelihood (1-5)</t>
  </si>
  <si>
    <t>Risk Score (/25)</t>
  </si>
  <si>
    <t>Rating</t>
  </si>
  <si>
    <t>Regulatory / Antitrust</t>
  </si>
  <si>
    <t>LOW</t>
  </si>
  <si>
    <t>DOJ + EC cleared with no conditions. Trump-era M&amp;A-friendly environment.</t>
  </si>
  <si>
    <t>Integration Execution</t>
  </si>
  <si>
    <t>HIGH</t>
  </si>
  <si>
    <t>Standalone unit structure preserves velocity; Mandiant integration was slow.</t>
  </si>
  <si>
    <t>Key Person Retention</t>
  </si>
  <si>
    <t>MEDIUM</t>
  </si>
  <si>
    <t>Co-founder retention package expected. Typical 2-3yr post-acq tenure.</t>
  </si>
  <si>
    <t>Competitive Response</t>
  </si>
  <si>
    <t>MSFT Defender / PANW CNAPP / AWS Security Hub all accelerating.</t>
  </si>
  <si>
    <t>Valuation / Multiple Risk</t>
  </si>
  <si>
    <t>64x ARR is a record. 20% ARR miss wipes ~$6B NPV. Path to profit critical.</t>
  </si>
  <si>
    <t>Cloud Market Saturation</t>
  </si>
  <si>
    <t>Hyperscaler security spend growth decelerating post-2024. CISO budget scrutiny.</t>
  </si>
  <si>
    <t>Geo / Data Sovereignty</t>
  </si>
  <si>
    <t>EU data-residency laws and non-US cloud sovereignty legislation evolving.</t>
  </si>
  <si>
    <t>Risk Score = Severity × Likelihood  |  ≥15 = HIGH  |  10–14 = MEDIUM  |  ≤9 = LOW</t>
  </si>
  <si>
    <t>Wiz(Deal)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</si>
</sst>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&quot;$&quot;#,##0"/>
    <numFmt numFmtId="165" formatCode="0.0%"/>
    <numFmt numFmtId="166" formatCode="0.0&quot;x&quot;"/>
    <numFmt numFmtId="167" formatCode="&quot;$&quot;#,##0.0"/>
  </numFmts>
  <fonts count="24" x14ac:knownFonts="1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10"/>
      <color rgb="FFBDD7EE"/>
      <name val="Arial"/>
      <family val="2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sz val="10"/>
      <color rgb="FF595959"/>
      <name val="Arial"/>
      <family val="2"/>
    </font>
    <font>
      <i/>
      <sz val="9"/>
      <color rgb="FF7F7F7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70C0"/>
      <name val="Arial"/>
      <family val="2"/>
    </font>
    <font>
      <sz val="9"/>
      <color rgb="FF595959"/>
      <name val="Arial"/>
      <family val="2"/>
    </font>
    <font>
      <b/>
      <sz val="10"/>
      <color rgb="FF375623"/>
      <name val="Arial"/>
      <family val="2"/>
    </font>
    <font>
      <sz val="10"/>
      <color rgb="FF375623"/>
      <name val="Arial"/>
      <family val="2"/>
    </font>
    <font>
      <b/>
      <sz val="11"/>
      <color rgb="FF375623"/>
      <name val="Arial"/>
      <family val="2"/>
    </font>
    <font>
      <i/>
      <sz val="9"/>
      <color rgb="FF595959"/>
      <name val="Arial"/>
      <family val="2"/>
    </font>
    <font>
      <sz val="10"/>
      <color rgb="FFC00000"/>
      <name val="Arial"/>
      <family val="2"/>
    </font>
    <font>
      <b/>
      <sz val="9"/>
      <color rgb="FF1F3864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b/>
      <sz val="9"/>
      <color rgb="FFC00000"/>
      <name val="Arial"/>
      <family val="2"/>
    </font>
    <font>
      <b/>
      <sz val="10"/>
      <color rgb="FF9C57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F8A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2F7FD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6E4F7"/>
      </patternFill>
    </fill>
    <fill>
      <patternFill patternType="solid">
        <fgColor rgb="FFBDD7EE"/>
      </patternFill>
    </fill>
  </fills>
  <borders count="2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thin">
        <color rgb="FFBFBFBF"/>
      </bottom>
      <diagonal/>
    </border>
    <border>
      <left/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4" fillId="5" borderId="5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5" fillId="6" borderId="8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6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0" fillId="5" borderId="6" xfId="0" applyFill="1" applyBorder="1"/>
    <xf numFmtId="0" fontId="5" fillId="6" borderId="5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6" xfId="0" applyFill="1" applyBorder="1"/>
    <xf numFmtId="0" fontId="5" fillId="6" borderId="7" xfId="0" applyFont="1" applyFill="1" applyBorder="1" applyAlignment="1">
      <alignment horizontal="center" vertical="center"/>
    </xf>
    <xf numFmtId="164" fontId="9" fillId="6" borderId="11" xfId="0" applyNumberFormat="1" applyFont="1" applyFill="1" applyBorder="1" applyAlignment="1">
      <alignment horizontal="right" vertical="center"/>
    </xf>
    <xf numFmtId="0" fontId="5" fillId="6" borderId="1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left" vertical="center"/>
    </xf>
    <xf numFmtId="0" fontId="5" fillId="6" borderId="5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left" vertical="center"/>
    </xf>
    <xf numFmtId="0" fontId="9" fillId="7" borderId="7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center" vertical="center"/>
    </xf>
    <xf numFmtId="164" fontId="9" fillId="7" borderId="11" xfId="0" applyNumberFormat="1" applyFont="1" applyFill="1" applyBorder="1" applyAlignment="1">
      <alignment horizontal="right" vertical="center"/>
    </xf>
    <xf numFmtId="0" fontId="11" fillId="7" borderId="11" xfId="0" applyFont="1" applyFill="1" applyBorder="1" applyAlignment="1">
      <alignment horizontal="center" vertical="center"/>
    </xf>
    <xf numFmtId="0" fontId="10" fillId="7" borderId="8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9" fillId="6" borderId="5" xfId="0" applyFont="1" applyFill="1" applyBorder="1" applyAlignment="1">
      <alignment horizontal="left" vertical="center"/>
    </xf>
    <xf numFmtId="0" fontId="12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9" fillId="5" borderId="7" xfId="0" applyFont="1" applyFill="1" applyBorder="1" applyAlignment="1">
      <alignment horizontal="left" vertical="center"/>
    </xf>
    <xf numFmtId="0" fontId="12" fillId="5" borderId="11" xfId="0" applyFont="1" applyFill="1" applyBorder="1" applyAlignment="1">
      <alignment horizontal="right" vertical="center"/>
    </xf>
    <xf numFmtId="0" fontId="10" fillId="5" borderId="11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9" fillId="8" borderId="6" xfId="0" applyNumberFormat="1" applyFont="1" applyFill="1" applyBorder="1" applyAlignment="1">
      <alignment horizontal="right" vertical="center"/>
    </xf>
    <xf numFmtId="164" fontId="5" fillId="6" borderId="6" xfId="0" applyNumberFormat="1" applyFont="1" applyFill="1" applyBorder="1" applyAlignment="1">
      <alignment horizontal="right" vertical="center"/>
    </xf>
    <xf numFmtId="164" fontId="5" fillId="5" borderId="6" xfId="0" applyNumberFormat="1" applyFont="1" applyFill="1" applyBorder="1" applyAlignment="1">
      <alignment horizontal="right" vertical="center"/>
    </xf>
    <xf numFmtId="164" fontId="9" fillId="5" borderId="6" xfId="0" applyNumberFormat="1" applyFont="1" applyFill="1" applyBorder="1" applyAlignment="1">
      <alignment horizontal="right" vertical="center"/>
    </xf>
    <xf numFmtId="0" fontId="5" fillId="9" borderId="7" xfId="0" applyFont="1" applyFill="1" applyBorder="1" applyAlignment="1">
      <alignment horizontal="left" vertical="center"/>
    </xf>
    <xf numFmtId="164" fontId="5" fillId="9" borderId="11" xfId="0" applyNumberFormat="1" applyFont="1" applyFill="1" applyBorder="1" applyAlignment="1">
      <alignment horizontal="right" vertical="center"/>
    </xf>
    <xf numFmtId="164" fontId="5" fillId="9" borderId="8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5" fillId="5" borderId="6" xfId="0" applyNumberFormat="1" applyFont="1" applyFill="1" applyBorder="1" applyAlignment="1">
      <alignment horizontal="right" vertical="center"/>
    </xf>
    <xf numFmtId="165" fontId="9" fillId="6" borderId="1" xfId="0" applyNumberFormat="1" applyFont="1" applyFill="1" applyBorder="1" applyAlignment="1">
      <alignment horizontal="right" vertical="center"/>
    </xf>
    <xf numFmtId="165" fontId="9" fillId="6" borderId="6" xfId="0" applyNumberFormat="1" applyFont="1" applyFill="1" applyBorder="1" applyAlignment="1">
      <alignment horizontal="right" vertical="center"/>
    </xf>
    <xf numFmtId="165" fontId="9" fillId="5" borderId="1" xfId="0" applyNumberFormat="1" applyFont="1" applyFill="1" applyBorder="1" applyAlignment="1">
      <alignment horizontal="right" vertical="center"/>
    </xf>
    <xf numFmtId="165" fontId="9" fillId="5" borderId="6" xfId="0" applyNumberFormat="1" applyFont="1" applyFill="1" applyBorder="1" applyAlignment="1">
      <alignment horizontal="right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6" borderId="6" xfId="0" applyNumberFormat="1" applyFont="1" applyFill="1" applyBorder="1" applyAlignment="1">
      <alignment horizontal="right" vertical="center"/>
    </xf>
    <xf numFmtId="165" fontId="5" fillId="9" borderId="11" xfId="0" applyNumberFormat="1" applyFont="1" applyFill="1" applyBorder="1" applyAlignment="1">
      <alignment horizontal="right" vertical="center"/>
    </xf>
    <xf numFmtId="165" fontId="5" fillId="9" borderId="8" xfId="0" applyNumberFormat="1" applyFont="1" applyFill="1" applyBorder="1" applyAlignment="1">
      <alignment horizontal="right" vertical="center"/>
    </xf>
    <xf numFmtId="165" fontId="0" fillId="0" borderId="0" xfId="0" applyNumberFormat="1"/>
    <xf numFmtId="0" fontId="9" fillId="9" borderId="5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right" vertical="center"/>
    </xf>
    <xf numFmtId="164" fontId="9" fillId="9" borderId="6" xfId="0" applyNumberFormat="1" applyFont="1" applyFill="1" applyBorder="1" applyAlignment="1">
      <alignment horizontal="right" vertical="center"/>
    </xf>
    <xf numFmtId="164" fontId="9" fillId="6" borderId="6" xfId="0" applyNumberFormat="1" applyFont="1" applyFill="1" applyBorder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4" fontId="9" fillId="10" borderId="11" xfId="0" applyNumberFormat="1" applyFont="1" applyFill="1" applyBorder="1" applyAlignment="1">
      <alignment horizontal="right" vertical="center"/>
    </xf>
    <xf numFmtId="164" fontId="9" fillId="10" borderId="8" xfId="0" applyNumberFormat="1" applyFont="1" applyFill="1" applyBorder="1" applyAlignment="1">
      <alignment horizontal="right" vertical="center"/>
    </xf>
    <xf numFmtId="0" fontId="5" fillId="6" borderId="7" xfId="0" applyFont="1" applyFill="1" applyBorder="1" applyAlignment="1">
      <alignment horizontal="left" vertical="center"/>
    </xf>
    <xf numFmtId="164" fontId="5" fillId="6" borderId="11" xfId="0" applyNumberFormat="1" applyFont="1" applyFill="1" applyBorder="1" applyAlignment="1">
      <alignment horizontal="right" vertical="center"/>
    </xf>
    <xf numFmtId="164" fontId="5" fillId="6" borderId="8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6" fontId="5" fillId="5" borderId="6" xfId="0" applyNumberFormat="1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6" fontId="5" fillId="6" borderId="6" xfId="0" applyNumberFormat="1" applyFont="1" applyFill="1" applyBorder="1" applyAlignment="1">
      <alignment horizontal="right" vertical="center"/>
    </xf>
    <xf numFmtId="165" fontId="5" fillId="6" borderId="11" xfId="0" applyNumberFormat="1" applyFont="1" applyFill="1" applyBorder="1" applyAlignment="1">
      <alignment horizontal="right" vertical="center"/>
    </xf>
    <xf numFmtId="165" fontId="5" fillId="6" borderId="8" xfId="0" applyNumberFormat="1" applyFont="1" applyFill="1" applyBorder="1" applyAlignment="1">
      <alignment horizontal="right" vertical="center"/>
    </xf>
    <xf numFmtId="0" fontId="12" fillId="10" borderId="5" xfId="0" applyFont="1" applyFill="1" applyBorder="1" applyAlignment="1">
      <alignment horizontal="left" vertical="center"/>
    </xf>
    <xf numFmtId="10" fontId="12" fillId="11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/>
    </xf>
    <xf numFmtId="0" fontId="19" fillId="5" borderId="5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right" vertical="center"/>
    </xf>
    <xf numFmtId="166" fontId="12" fillId="11" borderId="1" xfId="0" applyNumberFormat="1" applyFont="1" applyFill="1" applyBorder="1" applyAlignment="1">
      <alignment horizontal="center" vertical="center"/>
    </xf>
    <xf numFmtId="0" fontId="19" fillId="6" borderId="5" xfId="0" applyFont="1" applyFill="1" applyBorder="1" applyAlignment="1">
      <alignment horizontal="left" vertical="center"/>
    </xf>
    <xf numFmtId="0" fontId="20" fillId="6" borderId="6" xfId="0" applyFont="1" applyFill="1" applyBorder="1" applyAlignment="1">
      <alignment horizontal="right" vertical="center"/>
    </xf>
    <xf numFmtId="164" fontId="12" fillId="11" borderId="1" xfId="0" applyNumberFormat="1" applyFont="1" applyFill="1" applyBorder="1" applyAlignment="1">
      <alignment horizontal="center" vertical="center"/>
    </xf>
    <xf numFmtId="10" fontId="20" fillId="5" borderId="6" xfId="0" applyNumberFormat="1" applyFont="1" applyFill="1" applyBorder="1" applyAlignment="1">
      <alignment horizontal="right" vertical="center"/>
    </xf>
    <xf numFmtId="0" fontId="0" fillId="0" borderId="1" xfId="0" applyBorder="1"/>
    <xf numFmtId="0" fontId="0" fillId="0" borderId="6" xfId="0" applyBorder="1"/>
    <xf numFmtId="164" fontId="20" fillId="5" borderId="6" xfId="0" applyNumberFormat="1" applyFont="1" applyFill="1" applyBorder="1" applyAlignment="1">
      <alignment horizontal="right" vertical="center"/>
    </xf>
    <xf numFmtId="165" fontId="20" fillId="6" borderId="6" xfId="0" applyNumberFormat="1" applyFont="1" applyFill="1" applyBorder="1" applyAlignment="1">
      <alignment horizontal="right" vertical="center"/>
    </xf>
    <xf numFmtId="0" fontId="9" fillId="6" borderId="7" xfId="0" applyFont="1" applyFill="1" applyBorder="1" applyAlignment="1">
      <alignment horizontal="left" vertical="center"/>
    </xf>
    <xf numFmtId="165" fontId="9" fillId="6" borderId="11" xfId="0" applyNumberFormat="1" applyFont="1" applyFill="1" applyBorder="1" applyAlignment="1">
      <alignment horizontal="right" vertical="center"/>
    </xf>
    <xf numFmtId="0" fontId="0" fillId="0" borderId="11" xfId="0" applyBorder="1"/>
    <xf numFmtId="0" fontId="0" fillId="0" borderId="8" xfId="0" applyBorder="1"/>
    <xf numFmtId="165" fontId="20" fillId="5" borderId="6" xfId="0" applyNumberFormat="1" applyFont="1" applyFill="1" applyBorder="1" applyAlignment="1">
      <alignment horizontal="right" vertical="center"/>
    </xf>
    <xf numFmtId="164" fontId="20" fillId="6" borderId="6" xfId="0" applyNumberFormat="1" applyFont="1" applyFill="1" applyBorder="1" applyAlignment="1">
      <alignment horizontal="right" vertical="center"/>
    </xf>
    <xf numFmtId="165" fontId="12" fillId="11" borderId="1" xfId="0" applyNumberFormat="1" applyFont="1" applyFill="1" applyBorder="1" applyAlignment="1">
      <alignment horizontal="center" vertical="center"/>
    </xf>
    <xf numFmtId="165" fontId="12" fillId="11" borderId="6" xfId="0" applyNumberFormat="1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left" vertical="center"/>
    </xf>
    <xf numFmtId="164" fontId="14" fillId="0" borderId="11" xfId="0" applyNumberFormat="1" applyFont="1" applyBorder="1" applyAlignment="1">
      <alignment horizontal="right" vertical="center"/>
    </xf>
    <xf numFmtId="164" fontId="14" fillId="0" borderId="8" xfId="0" applyNumberFormat="1" applyFont="1" applyBorder="1" applyAlignment="1">
      <alignment horizontal="right" vertical="center"/>
    </xf>
    <xf numFmtId="0" fontId="19" fillId="5" borderId="7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right" vertical="center"/>
    </xf>
    <xf numFmtId="164" fontId="15" fillId="0" borderId="11" xfId="0" applyNumberFormat="1" applyFont="1" applyBorder="1" applyAlignment="1">
      <alignment horizontal="right" vertical="center"/>
    </xf>
    <xf numFmtId="164" fontId="15" fillId="0" borderId="8" xfId="0" applyNumberFormat="1" applyFont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164" fontId="15" fillId="0" borderId="6" xfId="0" applyNumberFormat="1" applyFont="1" applyBorder="1" applyAlignment="1">
      <alignment horizontal="right" vertical="center"/>
    </xf>
    <xf numFmtId="164" fontId="14" fillId="8" borderId="1" xfId="0" applyNumberFormat="1" applyFont="1" applyFill="1" applyBorder="1" applyAlignment="1">
      <alignment horizontal="right" vertical="center"/>
    </xf>
    <xf numFmtId="164" fontId="14" fillId="8" borderId="6" xfId="0" applyNumberFormat="1" applyFont="1" applyFill="1" applyBorder="1" applyAlignment="1">
      <alignment horizontal="right" vertical="center"/>
    </xf>
    <xf numFmtId="164" fontId="15" fillId="5" borderId="1" xfId="0" applyNumberFormat="1" applyFont="1" applyFill="1" applyBorder="1" applyAlignment="1">
      <alignment horizontal="right" vertical="center"/>
    </xf>
    <xf numFmtId="164" fontId="15" fillId="6" borderId="1" xfId="0" applyNumberFormat="1" applyFont="1" applyFill="1" applyBorder="1" applyAlignment="1">
      <alignment horizontal="right" vertical="center"/>
    </xf>
    <xf numFmtId="164" fontId="16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0" fillId="8" borderId="6" xfId="0" applyFill="1" applyBorder="1"/>
    <xf numFmtId="0" fontId="9" fillId="7" borderId="5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0" fillId="7" borderId="6" xfId="0" applyFill="1" applyBorder="1"/>
    <xf numFmtId="6" fontId="16" fillId="10" borderId="11" xfId="0" applyNumberFormat="1" applyFont="1" applyFill="1" applyBorder="1" applyAlignment="1">
      <alignment horizontal="right" vertical="center"/>
    </xf>
    <xf numFmtId="0" fontId="0" fillId="10" borderId="11" xfId="0" applyFill="1" applyBorder="1"/>
    <xf numFmtId="0" fontId="0" fillId="10" borderId="8" xfId="0" applyFill="1" applyBorder="1"/>
    <xf numFmtId="0" fontId="8" fillId="2" borderId="5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64" fontId="18" fillId="7" borderId="1" xfId="0" applyNumberFormat="1" applyFont="1" applyFill="1" applyBorder="1" applyAlignment="1">
      <alignment horizontal="right" vertical="center"/>
    </xf>
    <xf numFmtId="164" fontId="18" fillId="7" borderId="6" xfId="0" applyNumberFormat="1" applyFont="1" applyFill="1" applyBorder="1" applyAlignment="1">
      <alignment horizontal="right" vertical="center"/>
    </xf>
    <xf numFmtId="164" fontId="18" fillId="7" borderId="11" xfId="0" applyNumberFormat="1" applyFont="1" applyFill="1" applyBorder="1" applyAlignment="1">
      <alignment horizontal="right" vertical="center"/>
    </xf>
    <xf numFmtId="164" fontId="18" fillId="7" borderId="8" xfId="0" applyNumberFormat="1" applyFont="1" applyFill="1" applyBorder="1" applyAlignment="1">
      <alignment horizontal="right" vertical="center"/>
    </xf>
    <xf numFmtId="3" fontId="20" fillId="5" borderId="6" xfId="0" applyNumberFormat="1" applyFont="1" applyFill="1" applyBorder="1" applyAlignment="1">
      <alignment horizontal="right" vertical="center"/>
    </xf>
    <xf numFmtId="3" fontId="9" fillId="5" borderId="1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5" fillId="6" borderId="6" xfId="0" applyFont="1" applyFill="1" applyBorder="1" applyAlignment="1">
      <alignment horizontal="right" vertical="center"/>
    </xf>
    <xf numFmtId="167" fontId="20" fillId="5" borderId="6" xfId="0" applyNumberFormat="1" applyFont="1" applyFill="1" applyBorder="1" applyAlignment="1">
      <alignment horizontal="right" vertical="center"/>
    </xf>
    <xf numFmtId="167" fontId="9" fillId="5" borderId="1" xfId="0" applyNumberFormat="1" applyFont="1" applyFill="1" applyBorder="1" applyAlignment="1">
      <alignment horizontal="right" vertical="center"/>
    </xf>
    <xf numFmtId="0" fontId="9" fillId="5" borderId="11" xfId="0" applyFont="1" applyFill="1" applyBorder="1" applyAlignment="1">
      <alignment horizontal="right" vertical="center"/>
    </xf>
    <xf numFmtId="164" fontId="5" fillId="5" borderId="11" xfId="0" applyNumberFormat="1" applyFont="1" applyFill="1" applyBorder="1" applyAlignment="1">
      <alignment horizontal="right" vertical="center"/>
    </xf>
    <xf numFmtId="164" fontId="5" fillId="5" borderId="8" xfId="0" applyNumberFormat="1" applyFont="1" applyFill="1" applyBorder="1" applyAlignment="1">
      <alignment horizontal="right" vertical="center"/>
    </xf>
    <xf numFmtId="0" fontId="19" fillId="6" borderId="7" xfId="0" applyFont="1" applyFill="1" applyBorder="1" applyAlignment="1">
      <alignment horizontal="left" vertical="center"/>
    </xf>
    <xf numFmtId="164" fontId="20" fillId="6" borderId="8" xfId="0" applyNumberFormat="1" applyFont="1" applyFill="1" applyBorder="1" applyAlignment="1">
      <alignment horizontal="right" vertical="center"/>
    </xf>
    <xf numFmtId="0" fontId="9" fillId="8" borderId="11" xfId="0" applyFont="1" applyFill="1" applyBorder="1" applyAlignment="1">
      <alignment horizontal="right" vertical="center"/>
    </xf>
    <xf numFmtId="164" fontId="9" fillId="8" borderId="11" xfId="0" applyNumberFormat="1" applyFont="1" applyFill="1" applyBorder="1" applyAlignment="1">
      <alignment horizontal="right" vertical="center"/>
    </xf>
    <xf numFmtId="164" fontId="9" fillId="8" borderId="8" xfId="0" applyNumberFormat="1" applyFont="1" applyFill="1" applyBorder="1" applyAlignment="1">
      <alignment horizontal="right" vertical="center"/>
    </xf>
    <xf numFmtId="0" fontId="13" fillId="5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0" fillId="8" borderId="11" xfId="0" applyFill="1" applyBorder="1"/>
    <xf numFmtId="0" fontId="5" fillId="8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6" xfId="0" applyFont="1" applyFill="1" applyBorder="1" applyAlignment="1">
      <alignment horizontal="right" vertical="center"/>
    </xf>
    <xf numFmtId="0" fontId="10" fillId="8" borderId="1" xfId="0" applyFont="1" applyFill="1" applyBorder="1" applyAlignment="1">
      <alignment horizontal="right" vertical="center"/>
    </xf>
    <xf numFmtId="0" fontId="10" fillId="5" borderId="1" xfId="0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3" fontId="5" fillId="5" borderId="6" xfId="0" applyNumberFormat="1" applyFont="1" applyFill="1" applyBorder="1" applyAlignment="1">
      <alignment horizontal="right" vertical="center"/>
    </xf>
    <xf numFmtId="2" fontId="9" fillId="8" borderId="1" xfId="0" applyNumberFormat="1" applyFont="1" applyFill="1" applyBorder="1" applyAlignment="1">
      <alignment horizontal="right" vertical="center"/>
    </xf>
    <xf numFmtId="0" fontId="21" fillId="8" borderId="1" xfId="0" applyFont="1" applyFill="1" applyBorder="1" applyAlignment="1">
      <alignment horizontal="right" vertical="center"/>
    </xf>
    <xf numFmtId="2" fontId="9" fillId="8" borderId="6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right" vertical="center"/>
    </xf>
    <xf numFmtId="0" fontId="21" fillId="7" borderId="1" xfId="0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0" fontId="5" fillId="6" borderId="11" xfId="0" applyFont="1" applyFill="1" applyBorder="1" applyAlignment="1">
      <alignment horizontal="right" vertical="center"/>
    </xf>
    <xf numFmtId="0" fontId="10" fillId="6" borderId="11" xfId="0" applyFont="1" applyFill="1" applyBorder="1" applyAlignment="1">
      <alignment horizontal="right" vertical="center"/>
    </xf>
    <xf numFmtId="0" fontId="5" fillId="6" borderId="8" xfId="0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9" fillId="10" borderId="5" xfId="0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right" vertical="center"/>
    </xf>
    <xf numFmtId="164" fontId="5" fillId="10" borderId="1" xfId="0" applyNumberFormat="1" applyFont="1" applyFill="1" applyBorder="1" applyAlignment="1">
      <alignment horizontal="right" vertical="center"/>
    </xf>
    <xf numFmtId="164" fontId="9" fillId="10" borderId="6" xfId="0" applyNumberFormat="1" applyFont="1" applyFill="1" applyBorder="1" applyAlignment="1">
      <alignment horizontal="right" vertical="center"/>
    </xf>
    <xf numFmtId="0" fontId="13" fillId="6" borderId="11" xfId="0" applyFont="1" applyFill="1" applyBorder="1" applyAlignment="1">
      <alignment horizontal="left" vertical="center"/>
    </xf>
    <xf numFmtId="164" fontId="9" fillId="6" borderId="8" xfId="0" applyNumberFormat="1" applyFont="1" applyFill="1" applyBorder="1" applyAlignment="1">
      <alignment horizontal="right" vertical="center"/>
    </xf>
    <xf numFmtId="165" fontId="15" fillId="5" borderId="1" xfId="0" applyNumberFormat="1" applyFont="1" applyFill="1" applyBorder="1" applyAlignment="1">
      <alignment horizontal="right" vertical="center"/>
    </xf>
    <xf numFmtId="165" fontId="15" fillId="6" borderId="1" xfId="0" applyNumberFormat="1" applyFont="1" applyFill="1" applyBorder="1" applyAlignment="1">
      <alignment horizontal="right" vertical="center"/>
    </xf>
    <xf numFmtId="165" fontId="18" fillId="5" borderId="1" xfId="0" applyNumberFormat="1" applyFont="1" applyFill="1" applyBorder="1" applyAlignment="1">
      <alignment horizontal="right" vertical="center"/>
    </xf>
    <xf numFmtId="165" fontId="18" fillId="6" borderId="1" xfId="0" applyNumberFormat="1" applyFont="1" applyFill="1" applyBorder="1" applyAlignment="1">
      <alignment horizontal="right" vertical="center"/>
    </xf>
    <xf numFmtId="0" fontId="11" fillId="7" borderId="5" xfId="0" applyFont="1" applyFill="1" applyBorder="1" applyAlignment="1">
      <alignment horizontal="left" vertical="center"/>
    </xf>
    <xf numFmtId="165" fontId="5" fillId="7" borderId="1" xfId="0" applyNumberFormat="1" applyFont="1" applyFill="1" applyBorder="1" applyAlignment="1">
      <alignment horizontal="right" vertical="center"/>
    </xf>
    <xf numFmtId="166" fontId="11" fillId="7" borderId="1" xfId="0" applyNumberFormat="1" applyFont="1" applyFill="1" applyBorder="1" applyAlignment="1">
      <alignment horizontal="right" vertical="center"/>
    </xf>
    <xf numFmtId="165" fontId="18" fillId="7" borderId="1" xfId="0" applyNumberFormat="1" applyFont="1" applyFill="1" applyBorder="1" applyAlignment="1">
      <alignment horizontal="right" vertical="center"/>
    </xf>
    <xf numFmtId="166" fontId="9" fillId="8" borderId="1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5" fillId="5" borderId="11" xfId="0" applyFont="1" applyFill="1" applyBorder="1" applyAlignment="1">
      <alignment horizontal="center" vertical="center"/>
    </xf>
    <xf numFmtId="166" fontId="5" fillId="5" borderId="1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4" fillId="12" borderId="12" xfId="0" applyFont="1" applyFill="1" applyBorder="1" applyAlignment="1">
      <alignment horizontal="left" vertical="center"/>
    </xf>
    <xf numFmtId="0" fontId="4" fillId="12" borderId="1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4" xfId="0" applyFill="1" applyBorder="1"/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0" fillId="4" borderId="1" xfId="0" applyFill="1" applyBorder="1"/>
    <xf numFmtId="0" fontId="0" fillId="0" borderId="9" xfId="0" applyBorder="1"/>
    <xf numFmtId="0" fontId="0" fillId="0" borderId="2" xfId="0" applyBorder="1"/>
    <xf numFmtId="0" fontId="7" fillId="0" borderId="0" xfId="0" applyFont="1" applyAlignment="1">
      <alignment horizontal="left" vertical="center"/>
    </xf>
    <xf numFmtId="0" fontId="0" fillId="0" borderId="0" xfId="0"/>
    <xf numFmtId="0" fontId="10" fillId="5" borderId="11" xfId="0" applyFont="1" applyFill="1" applyBorder="1" applyAlignment="1">
      <alignment horizontal="left" vertical="center" wrapText="1"/>
    </xf>
    <xf numFmtId="0" fontId="0" fillId="5" borderId="11" xfId="0" applyFill="1" applyBorder="1"/>
    <xf numFmtId="0" fontId="0" fillId="5" borderId="8" xfId="0" applyFill="1" applyBorder="1"/>
    <xf numFmtId="0" fontId="10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6" borderId="6" xfId="0" applyFill="1" applyBorder="1"/>
    <xf numFmtId="0" fontId="10" fillId="6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0" fillId="5" borderId="6" xfId="0" applyFill="1" applyBorder="1"/>
    <xf numFmtId="0" fontId="10" fillId="5" borderId="1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0" fillId="6" borderId="8" xfId="0" applyFill="1" applyBorder="1"/>
    <xf numFmtId="0" fontId="4" fillId="12" borderId="3" xfId="0" applyFont="1" applyFill="1" applyBorder="1" applyAlignment="1">
      <alignment horizontal="left" vertical="center"/>
    </xf>
    <xf numFmtId="0" fontId="0" fillId="12" borderId="4" xfId="0" applyFill="1" applyBorder="1"/>
    <xf numFmtId="0" fontId="13" fillId="10" borderId="1" xfId="0" applyFont="1" applyFill="1" applyBorder="1" applyAlignment="1">
      <alignment horizontal="left" vertical="center"/>
    </xf>
    <xf numFmtId="0" fontId="0" fillId="10" borderId="1" xfId="0" applyFill="1" applyBorder="1"/>
    <xf numFmtId="0" fontId="0" fillId="10" borderId="6" xfId="0" applyFill="1" applyBorder="1"/>
    <xf numFmtId="0" fontId="17" fillId="0" borderId="5" xfId="0" applyFont="1" applyBorder="1"/>
    <xf numFmtId="0" fontId="0" fillId="0" borderId="1" xfId="0" applyBorder="1"/>
    <xf numFmtId="0" fontId="0" fillId="0" borderId="6" xfId="0" applyBorder="1"/>
    <xf numFmtId="0" fontId="8" fillId="2" borderId="1" xfId="0" applyFont="1" applyFill="1" applyBorder="1" applyAlignment="1">
      <alignment horizontal="center" vertical="center" wrapText="1"/>
    </xf>
    <xf numFmtId="0" fontId="0" fillId="2" borderId="6" xfId="0" applyFill="1" applyBorder="1"/>
    <xf numFmtId="0" fontId="13" fillId="6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left" vertical="center"/>
    </xf>
    <xf numFmtId="0" fontId="0" fillId="8" borderId="1" xfId="0" applyFill="1" applyBorder="1"/>
    <xf numFmtId="0" fontId="0" fillId="8" borderId="6" xfId="0" applyFill="1" applyBorder="1"/>
    <xf numFmtId="0" fontId="13" fillId="8" borderId="11" xfId="0" applyFont="1" applyFill="1" applyBorder="1" applyAlignment="1">
      <alignment horizontal="left" vertical="center"/>
    </xf>
    <xf numFmtId="0" fontId="0" fillId="8" borderId="11" xfId="0" applyFill="1" applyBorder="1"/>
    <xf numFmtId="0" fontId="0" fillId="8" borderId="8" xfId="0" applyFill="1" applyBorder="1"/>
    <xf numFmtId="0" fontId="17" fillId="0" borderId="0" xfId="0" applyFont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0" fillId="7" borderId="6" xfId="0" applyFill="1" applyBorder="1"/>
    <xf numFmtId="0" fontId="13" fillId="5" borderId="11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22" fillId="7" borderId="6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0" fillId="0" borderId="0" xfId="0" applyBorder="1"/>
    <xf numFmtId="0" fontId="14" fillId="9" borderId="14" xfId="0" applyFont="1" applyFill="1" applyBorder="1" applyAlignment="1">
      <alignment horizontal="left" vertical="center" wrapText="1"/>
    </xf>
    <xf numFmtId="0" fontId="14" fillId="9" borderId="9" xfId="0" applyFont="1" applyFill="1" applyBorder="1" applyAlignment="1">
      <alignment horizontal="left" vertical="center" wrapText="1"/>
    </xf>
    <xf numFmtId="0" fontId="11" fillId="7" borderId="14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left" vertical="center" wrapText="1"/>
    </xf>
    <xf numFmtId="0" fontId="23" fillId="10" borderId="14" xfId="0" applyFont="1" applyFill="1" applyBorder="1" applyAlignment="1">
      <alignment horizontal="left" vertical="center" wrapText="1"/>
    </xf>
    <xf numFmtId="0" fontId="23" fillId="10" borderId="9" xfId="0" applyFont="1" applyFill="1" applyBorder="1" applyAlignment="1">
      <alignment horizontal="left" vertical="center" wrapText="1"/>
    </xf>
    <xf numFmtId="0" fontId="14" fillId="9" borderId="15" xfId="0" applyFont="1" applyFill="1" applyBorder="1" applyAlignment="1">
      <alignment horizontal="left" vertical="center" wrapText="1"/>
    </xf>
    <xf numFmtId="0" fontId="14" fillId="9" borderId="16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2" borderId="17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left" vertical="center"/>
    </xf>
    <xf numFmtId="0" fontId="14" fillId="9" borderId="21" xfId="0" applyFont="1" applyFill="1" applyBorder="1" applyAlignment="1">
      <alignment horizontal="left" vertical="center" wrapText="1"/>
    </xf>
    <xf numFmtId="0" fontId="9" fillId="7" borderId="20" xfId="0" applyFont="1" applyFill="1" applyBorder="1" applyAlignment="1">
      <alignment horizontal="left" vertical="center"/>
    </xf>
    <xf numFmtId="0" fontId="11" fillId="7" borderId="21" xfId="0" applyFont="1" applyFill="1" applyBorder="1" applyAlignment="1">
      <alignment horizontal="left" vertical="center" wrapText="1"/>
    </xf>
    <xf numFmtId="0" fontId="9" fillId="10" borderId="20" xfId="0" applyFont="1" applyFill="1" applyBorder="1" applyAlignment="1">
      <alignment horizontal="left" vertical="center"/>
    </xf>
    <xf numFmtId="0" fontId="23" fillId="10" borderId="21" xfId="0" applyFont="1" applyFill="1" applyBorder="1" applyAlignment="1">
      <alignment horizontal="left" vertical="center" wrapText="1"/>
    </xf>
    <xf numFmtId="0" fontId="9" fillId="9" borderId="22" xfId="0" applyFont="1" applyFill="1" applyBorder="1" applyAlignment="1">
      <alignment horizontal="left" vertical="center"/>
    </xf>
    <xf numFmtId="0" fontId="5" fillId="9" borderId="23" xfId="0" applyFont="1" applyFill="1" applyBorder="1" applyAlignment="1">
      <alignment horizontal="center" vertical="center"/>
    </xf>
    <xf numFmtId="0" fontId="14" fillId="9" borderId="23" xfId="0" applyFont="1" applyFill="1" applyBorder="1" applyAlignment="1">
      <alignment horizontal="center" vertical="center"/>
    </xf>
    <xf numFmtId="0" fontId="14" fillId="9" borderId="2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Wiz ARR Growth Trajectory ($M)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25000">
              <a:solidFill>
                <a:srgbClr val="00C853"/>
              </a:solidFill>
              <a:prstDash val="solid"/>
            </a:ln>
          </c:spPr>
          <c:marker>
            <c:symbol val="none"/>
          </c:marker>
          <c:cat>
            <c:strRef>
              <c:f>'Deal Overview'!$A$6:$A$11</c:f>
              <c:strCache>
                <c:ptCount val="6"/>
                <c:pt idx="0">
                  <c:v>Feb-21</c:v>
                </c:pt>
                <c:pt idx="1">
                  <c:v>Jul-22</c:v>
                </c:pt>
                <c:pt idx="2">
                  <c:v>May-23</c:v>
                </c:pt>
                <c:pt idx="3">
                  <c:v>Feb-24</c:v>
                </c:pt>
                <c:pt idx="4">
                  <c:v>May-24</c:v>
                </c:pt>
                <c:pt idx="5">
                  <c:v>Mar-25</c:v>
                </c:pt>
              </c:strCache>
            </c:strRef>
          </c:cat>
          <c:val>
            <c:numRef>
              <c:f>'Deal Overview'!$B$6:$B$11</c:f>
              <c:numCache>
                <c:formatCode>"$"#,##0</c:formatCode>
                <c:ptCount val="6"/>
                <c:pt idx="0">
                  <c:v>1</c:v>
                </c:pt>
                <c:pt idx="1">
                  <c:v>100</c:v>
                </c:pt>
                <c:pt idx="2">
                  <c:v>200</c:v>
                </c:pt>
                <c:pt idx="3">
                  <c:v>350</c:v>
                </c:pt>
                <c:pt idx="4">
                  <c:v>500</c:v>
                </c:pt>
                <c:pt idx="5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8EC-2B44-B070-47647EE21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ARR ($M)</a:t>
                </a:r>
              </a:p>
            </c:rich>
          </c:tx>
          <c:overlay val="1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Wiz Post-Money Valuation by Round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'Deal Overview'!$A$15:$A$21</c:f>
              <c:strCache>
                <c:ptCount val="7"/>
                <c:pt idx="0">
                  <c:v>Ser A</c:v>
                </c:pt>
                <c:pt idx="1">
                  <c:v>Ser B1</c:v>
                </c:pt>
                <c:pt idx="2">
                  <c:v>Ser B2</c:v>
                </c:pt>
                <c:pt idx="3">
                  <c:v>Ser C</c:v>
                </c:pt>
                <c:pt idx="4">
                  <c:v>Ser D</c:v>
                </c:pt>
                <c:pt idx="5">
                  <c:v>Ser E</c:v>
                </c:pt>
                <c:pt idx="6">
                  <c:v>Acquisition</c:v>
                </c:pt>
              </c:strCache>
            </c:strRef>
          </c:cat>
          <c:val>
            <c:numRef>
              <c:f>'Deal Overview'!$D$15:$D$21</c:f>
              <c:numCache>
                <c:formatCode>"$"#,##0</c:formatCode>
                <c:ptCount val="7"/>
                <c:pt idx="0" formatCode="General">
                  <c:v>0</c:v>
                </c:pt>
                <c:pt idx="1">
                  <c:v>1700</c:v>
                </c:pt>
                <c:pt idx="2">
                  <c:v>1700</c:v>
                </c:pt>
                <c:pt idx="3">
                  <c:v>6000</c:v>
                </c:pt>
                <c:pt idx="4">
                  <c:v>10000</c:v>
                </c:pt>
                <c:pt idx="5">
                  <c:v>12000</c:v>
                </c:pt>
                <c:pt idx="6">
                  <c:v>32000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7B7-8143-A4CC-97934A157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Alphabet Revenue &amp; Net Income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Revenue</c:v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Financials'!$A$48:$E$48</c:f>
              <c:numCache>
                <c:formatCode>General</c:formatCode>
                <c:ptCount val="5"/>
                <c:pt idx="0">
                  <c:v>182527</c:v>
                </c:pt>
                <c:pt idx="1">
                  <c:v>257637</c:v>
                </c:pt>
                <c:pt idx="2">
                  <c:v>282836</c:v>
                </c:pt>
                <c:pt idx="3">
                  <c:v>307394</c:v>
                </c:pt>
                <c:pt idx="4">
                  <c:v>350018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38-C248-8D0D-6BEB74DC565C}"/>
            </c:ext>
          </c:extLst>
        </c:ser>
        <c:ser>
          <c:idx val="1"/>
          <c:order val="1"/>
          <c:tx>
            <c:v>Net Income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Financials'!$A$49:$E$49</c:f>
              <c:numCache>
                <c:formatCode>General</c:formatCode>
                <c:ptCount val="5"/>
                <c:pt idx="0">
                  <c:v>40269</c:v>
                </c:pt>
                <c:pt idx="1">
                  <c:v>76033</c:v>
                </c:pt>
                <c:pt idx="2">
                  <c:v>59972</c:v>
                </c:pt>
                <c:pt idx="3">
                  <c:v>73795</c:v>
                </c:pt>
                <c:pt idx="4">
                  <c:v>100118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038-C248-8D0D-6BEB74DC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2.6317094428081986E-2"/>
          <c:y val="0.32139199558653897"/>
          <c:w val="0.14353023381619281"/>
          <c:h val="0.1151777922664125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Google Cloud Revenue ($M)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375623"/>
            </a:solidFill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Financials'!$A$50</c:f>
              <c:numCache>
                <c:formatCode>General</c:formatCode>
                <c:ptCount val="1"/>
                <c:pt idx="0">
                  <c:v>13059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CD1-E746-B569-3A2DD4E5B35D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Financials'!$B$50</c:f>
              <c:numCache>
                <c:formatCode>General</c:formatCode>
                <c:ptCount val="1"/>
                <c:pt idx="0">
                  <c:v>19206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D1-E746-B569-3A2DD4E5B35D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Financials'!$C$50</c:f>
              <c:numCache>
                <c:formatCode>General</c:formatCode>
                <c:ptCount val="1"/>
                <c:pt idx="0">
                  <c:v>26280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D1-E746-B569-3A2DD4E5B35D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Financials'!$D$50</c:f>
              <c:numCache>
                <c:formatCode>General</c:formatCode>
                <c:ptCount val="1"/>
                <c:pt idx="0">
                  <c:v>33088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1-E746-B569-3A2DD4E5B35D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numRef>
              <c:f>'Alphabet Financials'!$A$47:$E$47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'Alphabet Financials'!$E$50</c:f>
              <c:numCache>
                <c:formatCode>General</c:formatCode>
                <c:ptCount val="1"/>
                <c:pt idx="0">
                  <c:v>43228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D1-E746-B569-3A2DD4E5B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Synergy Ramp ($M)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Revenue Synergy</c:v>
          </c:tx>
          <c:spPr>
            <a:solidFill>
              <a:srgbClr val="375623"/>
            </a:solidFill>
            <a:ln>
              <a:prstDash val="solid"/>
            </a:ln>
          </c:spPr>
          <c:invertIfNegative val="1"/>
          <c:cat>
            <c:strRef>
              <c:f>Synergies!$A$31:$A$33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Synergies!$B$30:$B$33</c:f>
              <c:numCache>
                <c:formatCode>General</c:formatCode>
                <c:ptCount val="4"/>
                <c:pt idx="0">
                  <c:v>0</c:v>
                </c:pt>
                <c:pt idx="1">
                  <c:v>150</c:v>
                </c:pt>
                <c:pt idx="2">
                  <c:v>450</c:v>
                </c:pt>
                <c:pt idx="3">
                  <c:v>750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B9D-384F-B196-D2817BAD4720}"/>
            </c:ext>
          </c:extLst>
        </c:ser>
        <c:ser>
          <c:idx val="1"/>
          <c:order val="1"/>
          <c:tx>
            <c:v>Cost Synergy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Synergies!$A$31:$A$33</c:f>
              <c:strCache>
                <c:ptCount val="3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</c:strCache>
            </c:strRef>
          </c:cat>
          <c:val>
            <c:numRef>
              <c:f>Synergies!$C$30:$C$33</c:f>
              <c:numCache>
                <c:formatCode>General</c:formatCode>
                <c:ptCount val="4"/>
                <c:pt idx="0">
                  <c:v>0</c:v>
                </c:pt>
                <c:pt idx="1">
                  <c:v>739.74</c:v>
                </c:pt>
                <c:pt idx="2">
                  <c:v>1726.06</c:v>
                </c:pt>
                <c:pt idx="3">
                  <c:v>2465.8000000000002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B9D-384F-B196-D2817BAD4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&quot;$&quot;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5.5840674603174559E-2"/>
          <c:y val="0.37270750000000002"/>
          <c:w val="0.21844503968253967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CA"/>
              <a:t>EV/Revenue Multiple — Comps vs Deal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Risk'!$A$37</c:f>
              <c:numCache>
                <c:formatCode>General</c:formatCode>
                <c:ptCount val="1"/>
                <c:pt idx="0">
                  <c:v>16.399999999999999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3F-904A-A03B-D199202C7535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Risk'!$B$37</c:f>
              <c:numCache>
                <c:formatCode>General</c:formatCode>
                <c:ptCount val="1"/>
                <c:pt idx="0">
                  <c:v>23.6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3F-904A-A03B-D199202C7535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Risk'!$C$37</c:f>
              <c:numCache>
                <c:formatCode>General</c:formatCode>
                <c:ptCount val="1"/>
                <c:pt idx="0">
                  <c:v>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3F-904A-A03B-D199202C7535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Risk'!$D$37</c:f>
              <c:numCache>
                <c:formatCode>General</c:formatCode>
                <c:ptCount val="1"/>
                <c:pt idx="0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3F-904A-A03B-D199202C7535}"/>
            </c:ext>
          </c:extLst>
        </c:ser>
        <c:ser>
          <c:idx val="4"/>
          <c:order val="4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Risk'!$E$37</c:f>
              <c:numCache>
                <c:formatCode>General</c:formatCode>
                <c:ptCount val="1"/>
                <c:pt idx="0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3F-904A-A03B-D199202C7535}"/>
            </c:ext>
          </c:extLst>
        </c:ser>
        <c:ser>
          <c:idx val="5"/>
          <c:order val="5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Risk'!$F$37</c:f>
              <c:numCache>
                <c:formatCode>General</c:formatCode>
                <c:ptCount val="1"/>
                <c:pt idx="0">
                  <c:v>24.6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3F-904A-A03B-D199202C7535}"/>
            </c:ext>
          </c:extLst>
        </c:ser>
        <c:ser>
          <c:idx val="6"/>
          <c:order val="6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Risk'!$G$37</c:f>
              <c:numCache>
                <c:formatCode>General</c:formatCode>
                <c:ptCount val="1"/>
                <c:pt idx="0">
                  <c:v>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3F-904A-A03B-D199202C7535}"/>
            </c:ext>
          </c:extLst>
        </c:ser>
        <c:ser>
          <c:idx val="7"/>
          <c:order val="7"/>
          <c:spPr>
            <a:ln>
              <a:prstDash val="solid"/>
            </a:ln>
          </c:spPr>
          <c:invertIfNegative val="1"/>
          <c:cat>
            <c:strRef>
              <c:f>'Comps &amp; Risk'!$A$36:$H$36</c:f>
              <c:strCache>
                <c:ptCount val="8"/>
                <c:pt idx="0">
                  <c:v>Palo Alto</c:v>
                </c:pt>
                <c:pt idx="1">
                  <c:v>CrowdStrike</c:v>
                </c:pt>
                <c:pt idx="2">
                  <c:v>Zscaler</c:v>
                </c:pt>
                <c:pt idx="3">
                  <c:v>Fortinet</c:v>
                </c:pt>
                <c:pt idx="4">
                  <c:v>SentinelOne</c:v>
                </c:pt>
                <c:pt idx="5">
                  <c:v>Cloudflare</c:v>
                </c:pt>
                <c:pt idx="6">
                  <c:v>Okta</c:v>
                </c:pt>
                <c:pt idx="7">
                  <c:v>Wiz(Deal)</c:v>
                </c:pt>
              </c:strCache>
            </c:strRef>
          </c:cat>
          <c:val>
            <c:numRef>
              <c:f>'Comps &amp; Risk'!$H$37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3F-904A-A03B-D199202C7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&quot;x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6654800" cy="3987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</xdr:colOff>
      <xdr:row>11</xdr:row>
      <xdr:rowOff>25400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576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showGridLines="0" topLeftCell="A13" workbookViewId="0">
      <selection sqref="A1:B1"/>
    </sheetView>
  </sheetViews>
  <sheetFormatPr baseColWidth="10" defaultColWidth="8.83203125" defaultRowHeight="15" x14ac:dyDescent="0.2"/>
  <cols>
    <col min="1" max="1" width="30" customWidth="1"/>
    <col min="2" max="2" width="52" customWidth="1"/>
  </cols>
  <sheetData>
    <row r="1" spans="1:2" ht="50" customHeight="1" x14ac:dyDescent="0.2">
      <c r="A1" s="204" t="s">
        <v>0</v>
      </c>
      <c r="B1" s="205"/>
    </row>
    <row r="2" spans="1:2" ht="24" customHeight="1" x14ac:dyDescent="0.2">
      <c r="A2" s="202" t="s">
        <v>1</v>
      </c>
      <c r="B2" s="203"/>
    </row>
    <row r="3" spans="1:2" ht="4" customHeight="1" x14ac:dyDescent="0.2">
      <c r="A3" s="206"/>
      <c r="B3" s="208"/>
    </row>
    <row r="4" spans="1:2" ht="8" customHeight="1" x14ac:dyDescent="0.2"/>
    <row r="5" spans="1:2" ht="22" customHeight="1" x14ac:dyDescent="0.2">
      <c r="A5" s="199" t="s">
        <v>2</v>
      </c>
      <c r="B5" s="201"/>
    </row>
    <row r="6" spans="1:2" ht="18" customHeight="1" x14ac:dyDescent="0.2">
      <c r="A6" s="1" t="s">
        <v>3</v>
      </c>
      <c r="B6" s="2" t="s">
        <v>4</v>
      </c>
    </row>
    <row r="7" spans="1:2" ht="18" customHeight="1" x14ac:dyDescent="0.2">
      <c r="A7" s="3" t="s">
        <v>5</v>
      </c>
      <c r="B7" s="4" t="s">
        <v>6</v>
      </c>
    </row>
    <row r="8" spans="1:2" ht="18" customHeight="1" x14ac:dyDescent="0.2">
      <c r="A8" s="1" t="s">
        <v>7</v>
      </c>
      <c r="B8" s="2" t="s">
        <v>8</v>
      </c>
    </row>
    <row r="9" spans="1:2" ht="18" customHeight="1" x14ac:dyDescent="0.2">
      <c r="A9" s="3" t="s">
        <v>9</v>
      </c>
      <c r="B9" s="4" t="s">
        <v>10</v>
      </c>
    </row>
    <row r="10" spans="1:2" ht="18" customHeight="1" x14ac:dyDescent="0.2">
      <c r="A10" s="1" t="s">
        <v>11</v>
      </c>
      <c r="B10" s="2" t="s">
        <v>12</v>
      </c>
    </row>
    <row r="11" spans="1:2" ht="18" customHeight="1" x14ac:dyDescent="0.2">
      <c r="A11" s="3" t="s">
        <v>13</v>
      </c>
      <c r="B11" s="4" t="s">
        <v>14</v>
      </c>
    </row>
    <row r="12" spans="1:2" ht="18" customHeight="1" x14ac:dyDescent="0.2">
      <c r="A12" s="1" t="s">
        <v>15</v>
      </c>
      <c r="B12" s="2" t="s">
        <v>16</v>
      </c>
    </row>
    <row r="13" spans="1:2" ht="18" customHeight="1" x14ac:dyDescent="0.2">
      <c r="A13" s="3" t="s">
        <v>17</v>
      </c>
      <c r="B13" s="4" t="s">
        <v>18</v>
      </c>
    </row>
    <row r="14" spans="1:2" ht="18" customHeight="1" x14ac:dyDescent="0.2">
      <c r="A14" s="1" t="s">
        <v>19</v>
      </c>
      <c r="B14" s="2" t="s">
        <v>20</v>
      </c>
    </row>
    <row r="15" spans="1:2" ht="18" customHeight="1" x14ac:dyDescent="0.2">
      <c r="A15" s="3" t="s">
        <v>21</v>
      </c>
      <c r="B15" s="4" t="s">
        <v>22</v>
      </c>
    </row>
    <row r="16" spans="1:2" ht="18" customHeight="1" x14ac:dyDescent="0.2">
      <c r="A16" s="1" t="s">
        <v>23</v>
      </c>
      <c r="B16" s="2" t="s">
        <v>24</v>
      </c>
    </row>
    <row r="17" spans="1:2" ht="18" customHeight="1" x14ac:dyDescent="0.2">
      <c r="A17" s="3" t="s">
        <v>25</v>
      </c>
      <c r="B17" s="4" t="s">
        <v>26</v>
      </c>
    </row>
    <row r="18" spans="1:2" ht="18" customHeight="1" x14ac:dyDescent="0.2">
      <c r="A18" s="1" t="s">
        <v>27</v>
      </c>
      <c r="B18" s="2" t="s">
        <v>28</v>
      </c>
    </row>
    <row r="19" spans="1:2" ht="18" customHeight="1" x14ac:dyDescent="0.2">
      <c r="A19" s="3" t="s">
        <v>29</v>
      </c>
      <c r="B19" s="4" t="s">
        <v>30</v>
      </c>
    </row>
    <row r="20" spans="1:2" ht="18" customHeight="1" x14ac:dyDescent="0.2">
      <c r="A20" s="1" t="s">
        <v>31</v>
      </c>
      <c r="B20" s="2" t="s">
        <v>32</v>
      </c>
    </row>
    <row r="21" spans="1:2" ht="18" customHeight="1" x14ac:dyDescent="0.2">
      <c r="A21" s="5" t="s">
        <v>33</v>
      </c>
      <c r="B21" s="6" t="s">
        <v>34</v>
      </c>
    </row>
    <row r="23" spans="1:2" ht="8" customHeight="1" x14ac:dyDescent="0.2"/>
    <row r="24" spans="1:2" ht="22" customHeight="1" x14ac:dyDescent="0.2">
      <c r="A24" s="199" t="s">
        <v>35</v>
      </c>
      <c r="B24" s="201"/>
    </row>
    <row r="25" spans="1:2" ht="18" customHeight="1" x14ac:dyDescent="0.2">
      <c r="A25" s="1" t="s">
        <v>36</v>
      </c>
      <c r="B25" s="7" t="s">
        <v>37</v>
      </c>
    </row>
    <row r="26" spans="1:2" ht="18" customHeight="1" x14ac:dyDescent="0.2">
      <c r="A26" s="3" t="s">
        <v>38</v>
      </c>
      <c r="B26" s="8" t="s">
        <v>39</v>
      </c>
    </row>
    <row r="27" spans="1:2" ht="18" customHeight="1" x14ac:dyDescent="0.2">
      <c r="A27" s="1" t="s">
        <v>40</v>
      </c>
      <c r="B27" s="7" t="s">
        <v>41</v>
      </c>
    </row>
    <row r="28" spans="1:2" ht="18" customHeight="1" x14ac:dyDescent="0.2">
      <c r="A28" s="3" t="s">
        <v>42</v>
      </c>
      <c r="B28" s="8" t="s">
        <v>43</v>
      </c>
    </row>
    <row r="29" spans="1:2" ht="18" customHeight="1" x14ac:dyDescent="0.2">
      <c r="A29" s="1" t="s">
        <v>44</v>
      </c>
      <c r="B29" s="7" t="s">
        <v>45</v>
      </c>
    </row>
    <row r="30" spans="1:2" ht="18" customHeight="1" x14ac:dyDescent="0.2">
      <c r="A30" s="3" t="s">
        <v>46</v>
      </c>
      <c r="B30" s="8" t="s">
        <v>47</v>
      </c>
    </row>
    <row r="31" spans="1:2" ht="18" customHeight="1" x14ac:dyDescent="0.2">
      <c r="A31" s="9" t="s">
        <v>48</v>
      </c>
      <c r="B31" s="10" t="s">
        <v>49</v>
      </c>
    </row>
    <row r="33" spans="1:2" ht="14" customHeight="1" x14ac:dyDescent="0.2">
      <c r="A33" s="209" t="s">
        <v>50</v>
      </c>
      <c r="B33" s="210"/>
    </row>
  </sheetData>
  <mergeCells count="6">
    <mergeCell ref="A24:B24"/>
    <mergeCell ref="A2:B2"/>
    <mergeCell ref="A33:B33"/>
    <mergeCell ref="A5:B5"/>
    <mergeCell ref="A1:B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showGridLines="0" topLeftCell="A22" workbookViewId="0">
      <selection sqref="A1:F1"/>
    </sheetView>
  </sheetViews>
  <sheetFormatPr baseColWidth="10" defaultColWidth="8.83203125" defaultRowHeight="15" x14ac:dyDescent="0.2"/>
  <cols>
    <col min="1" max="1" width="32" customWidth="1"/>
    <col min="2" max="2" width="22" customWidth="1"/>
    <col min="3" max="6" width="16" customWidth="1"/>
    <col min="7" max="7" width="3" customWidth="1"/>
    <col min="8" max="8" width="28" customWidth="1"/>
    <col min="9" max="9" width="16" customWidth="1"/>
  </cols>
  <sheetData>
    <row r="1" spans="1:6" ht="40" customHeight="1" x14ac:dyDescent="0.2">
      <c r="A1" s="204" t="s">
        <v>51</v>
      </c>
      <c r="B1" s="205"/>
      <c r="C1" s="205"/>
      <c r="D1" s="205"/>
      <c r="E1" s="205"/>
      <c r="F1" s="205"/>
    </row>
    <row r="2" spans="1:6" ht="22" customHeight="1" x14ac:dyDescent="0.2">
      <c r="A2" s="202" t="s">
        <v>52</v>
      </c>
      <c r="B2" s="203"/>
      <c r="C2" s="203"/>
      <c r="D2" s="203"/>
      <c r="E2" s="203"/>
      <c r="F2" s="203"/>
    </row>
    <row r="3" spans="1:6" ht="4" customHeight="1" x14ac:dyDescent="0.2">
      <c r="A3" s="206"/>
      <c r="B3" s="207"/>
      <c r="C3" s="207"/>
      <c r="D3" s="207"/>
      <c r="E3" s="207"/>
      <c r="F3" s="208"/>
    </row>
    <row r="4" spans="1:6" ht="20" customHeight="1" x14ac:dyDescent="0.2">
      <c r="A4" s="199" t="s">
        <v>53</v>
      </c>
      <c r="B4" s="200"/>
      <c r="C4" s="200"/>
      <c r="D4" s="200"/>
      <c r="E4" s="200"/>
      <c r="F4" s="201"/>
    </row>
    <row r="5" spans="1:6" ht="28" customHeight="1" x14ac:dyDescent="0.2">
      <c r="A5" s="11" t="s">
        <v>54</v>
      </c>
      <c r="B5" s="12" t="s">
        <v>55</v>
      </c>
      <c r="C5" s="12" t="s">
        <v>56</v>
      </c>
      <c r="D5" s="12" t="s">
        <v>57</v>
      </c>
      <c r="E5" s="12" t="s">
        <v>58</v>
      </c>
      <c r="F5" s="13"/>
    </row>
    <row r="6" spans="1:6" x14ac:dyDescent="0.2">
      <c r="A6" s="14" t="s">
        <v>59</v>
      </c>
      <c r="B6" s="15">
        <v>1</v>
      </c>
      <c r="C6" s="16" t="s">
        <v>60</v>
      </c>
      <c r="D6" s="16" t="s">
        <v>60</v>
      </c>
      <c r="E6" s="221" t="s">
        <v>61</v>
      </c>
      <c r="F6" s="220"/>
    </row>
    <row r="7" spans="1:6" x14ac:dyDescent="0.2">
      <c r="A7" s="18" t="s">
        <v>62</v>
      </c>
      <c r="B7" s="19">
        <v>100</v>
      </c>
      <c r="C7" s="20" t="s">
        <v>63</v>
      </c>
      <c r="D7" s="20" t="s">
        <v>64</v>
      </c>
      <c r="E7" s="217" t="s">
        <v>65</v>
      </c>
      <c r="F7" s="216"/>
    </row>
    <row r="8" spans="1:6" x14ac:dyDescent="0.2">
      <c r="A8" s="14" t="s">
        <v>66</v>
      </c>
      <c r="B8" s="15">
        <v>200</v>
      </c>
      <c r="C8" s="16" t="s">
        <v>67</v>
      </c>
      <c r="D8" s="16" t="s">
        <v>68</v>
      </c>
      <c r="E8" s="221" t="s">
        <v>69</v>
      </c>
      <c r="F8" s="220"/>
    </row>
    <row r="9" spans="1:6" x14ac:dyDescent="0.2">
      <c r="A9" s="18" t="s">
        <v>70</v>
      </c>
      <c r="B9" s="19">
        <v>350</v>
      </c>
      <c r="C9" s="20" t="s">
        <v>71</v>
      </c>
      <c r="D9" s="20" t="s">
        <v>72</v>
      </c>
      <c r="E9" s="217" t="s">
        <v>73</v>
      </c>
      <c r="F9" s="216"/>
    </row>
    <row r="10" spans="1:6" x14ac:dyDescent="0.2">
      <c r="A10" s="14" t="s">
        <v>74</v>
      </c>
      <c r="B10" s="15">
        <v>500</v>
      </c>
      <c r="C10" s="16" t="s">
        <v>75</v>
      </c>
      <c r="D10" s="16" t="s">
        <v>76</v>
      </c>
      <c r="E10" s="221" t="s">
        <v>77</v>
      </c>
      <c r="F10" s="220"/>
    </row>
    <row r="11" spans="1:6" x14ac:dyDescent="0.2">
      <c r="A11" s="22" t="s">
        <v>78</v>
      </c>
      <c r="B11" s="23">
        <v>500</v>
      </c>
      <c r="C11" s="24" t="s">
        <v>67</v>
      </c>
      <c r="D11" s="24" t="s">
        <v>79</v>
      </c>
      <c r="E11" s="222" t="s">
        <v>80</v>
      </c>
      <c r="F11" s="223"/>
    </row>
    <row r="13" spans="1:6" ht="20" customHeight="1" x14ac:dyDescent="0.2">
      <c r="A13" s="199" t="s">
        <v>81</v>
      </c>
      <c r="B13" s="200"/>
      <c r="C13" s="200"/>
      <c r="D13" s="200"/>
      <c r="E13" s="200"/>
      <c r="F13" s="201"/>
    </row>
    <row r="14" spans="1:6" ht="28" customHeight="1" x14ac:dyDescent="0.2">
      <c r="A14" s="11" t="s">
        <v>82</v>
      </c>
      <c r="B14" s="12" t="s">
        <v>54</v>
      </c>
      <c r="C14" s="12" t="s">
        <v>83</v>
      </c>
      <c r="D14" s="12" t="s">
        <v>84</v>
      </c>
      <c r="E14" s="12" t="s">
        <v>85</v>
      </c>
      <c r="F14" s="13" t="s">
        <v>86</v>
      </c>
    </row>
    <row r="15" spans="1:6" x14ac:dyDescent="0.2">
      <c r="A15" s="25" t="s">
        <v>87</v>
      </c>
      <c r="B15" s="16" t="s">
        <v>88</v>
      </c>
      <c r="C15" s="26">
        <v>100</v>
      </c>
      <c r="D15" s="27" t="s">
        <v>60</v>
      </c>
      <c r="E15" s="16" t="s">
        <v>89</v>
      </c>
      <c r="F15" s="28" t="s">
        <v>90</v>
      </c>
    </row>
    <row r="16" spans="1:6" x14ac:dyDescent="0.2">
      <c r="A16" s="29" t="s">
        <v>91</v>
      </c>
      <c r="B16" s="20" t="s">
        <v>92</v>
      </c>
      <c r="C16" s="30">
        <v>130</v>
      </c>
      <c r="D16" s="30">
        <v>1700</v>
      </c>
      <c r="E16" s="20" t="s">
        <v>89</v>
      </c>
      <c r="F16" s="31" t="s">
        <v>93</v>
      </c>
    </row>
    <row r="17" spans="1:6" x14ac:dyDescent="0.2">
      <c r="A17" s="25" t="s">
        <v>94</v>
      </c>
      <c r="B17" s="16" t="s">
        <v>95</v>
      </c>
      <c r="C17" s="26">
        <v>120</v>
      </c>
      <c r="D17" s="26">
        <v>1700</v>
      </c>
      <c r="E17" s="16" t="s">
        <v>89</v>
      </c>
      <c r="F17" s="28" t="s">
        <v>96</v>
      </c>
    </row>
    <row r="18" spans="1:6" x14ac:dyDescent="0.2">
      <c r="A18" s="29" t="s">
        <v>97</v>
      </c>
      <c r="B18" s="20" t="s">
        <v>98</v>
      </c>
      <c r="C18" s="30">
        <v>250</v>
      </c>
      <c r="D18" s="30">
        <v>6000</v>
      </c>
      <c r="E18" s="20" t="s">
        <v>89</v>
      </c>
      <c r="F18" s="31" t="s">
        <v>99</v>
      </c>
    </row>
    <row r="19" spans="1:6" x14ac:dyDescent="0.2">
      <c r="A19" s="25" t="s">
        <v>100</v>
      </c>
      <c r="B19" s="16" t="s">
        <v>101</v>
      </c>
      <c r="C19" s="26">
        <v>300</v>
      </c>
      <c r="D19" s="26">
        <v>10000</v>
      </c>
      <c r="E19" s="16" t="s">
        <v>102</v>
      </c>
      <c r="F19" s="28" t="s">
        <v>103</v>
      </c>
    </row>
    <row r="20" spans="1:6" x14ac:dyDescent="0.2">
      <c r="A20" s="29" t="s">
        <v>104</v>
      </c>
      <c r="B20" s="20" t="s">
        <v>74</v>
      </c>
      <c r="C20" s="30">
        <v>1000</v>
      </c>
      <c r="D20" s="30">
        <v>12000</v>
      </c>
      <c r="E20" s="20" t="s">
        <v>105</v>
      </c>
      <c r="F20" s="31" t="s">
        <v>106</v>
      </c>
    </row>
    <row r="21" spans="1:6" x14ac:dyDescent="0.2">
      <c r="A21" s="32" t="s">
        <v>107</v>
      </c>
      <c r="B21" s="33" t="s">
        <v>78</v>
      </c>
      <c r="C21" s="34">
        <v>32000</v>
      </c>
      <c r="D21" s="34">
        <v>32000</v>
      </c>
      <c r="E21" s="35" t="s">
        <v>108</v>
      </c>
      <c r="F21" s="36" t="s">
        <v>109</v>
      </c>
    </row>
    <row r="23" spans="1:6" ht="20" customHeight="1" x14ac:dyDescent="0.2">
      <c r="A23" s="199" t="s">
        <v>110</v>
      </c>
      <c r="B23" s="200"/>
      <c r="C23" s="200"/>
      <c r="D23" s="200"/>
      <c r="E23" s="200"/>
      <c r="F23" s="201"/>
    </row>
    <row r="24" spans="1:6" ht="28" customHeight="1" x14ac:dyDescent="0.2">
      <c r="A24" s="11" t="s">
        <v>111</v>
      </c>
      <c r="B24" s="12" t="s">
        <v>112</v>
      </c>
      <c r="C24" s="12" t="s">
        <v>113</v>
      </c>
      <c r="D24" s="12" t="s">
        <v>114</v>
      </c>
      <c r="E24" s="12"/>
      <c r="F24" s="13"/>
    </row>
    <row r="25" spans="1:6" ht="20" customHeight="1" x14ac:dyDescent="0.2">
      <c r="A25" s="37" t="s">
        <v>115</v>
      </c>
      <c r="B25" s="38" t="s">
        <v>116</v>
      </c>
      <c r="C25" s="39" t="s">
        <v>60</v>
      </c>
      <c r="D25" s="218" t="s">
        <v>117</v>
      </c>
      <c r="E25" s="219"/>
      <c r="F25" s="220"/>
    </row>
    <row r="26" spans="1:6" ht="20" customHeight="1" x14ac:dyDescent="0.2">
      <c r="A26" s="41" t="s">
        <v>118</v>
      </c>
      <c r="B26" s="42" t="s">
        <v>108</v>
      </c>
      <c r="C26" s="43" t="s">
        <v>119</v>
      </c>
      <c r="D26" s="214" t="s">
        <v>120</v>
      </c>
      <c r="E26" s="215"/>
      <c r="F26" s="216"/>
    </row>
    <row r="27" spans="1:6" ht="20" customHeight="1" x14ac:dyDescent="0.2">
      <c r="A27" s="37" t="s">
        <v>121</v>
      </c>
      <c r="B27" s="38" t="s">
        <v>122</v>
      </c>
      <c r="C27" s="39" t="s">
        <v>60</v>
      </c>
      <c r="D27" s="218" t="s">
        <v>123</v>
      </c>
      <c r="E27" s="219"/>
      <c r="F27" s="220"/>
    </row>
    <row r="28" spans="1:6" ht="20" customHeight="1" x14ac:dyDescent="0.2">
      <c r="A28" s="41" t="s">
        <v>124</v>
      </c>
      <c r="B28" s="42" t="s">
        <v>125</v>
      </c>
      <c r="C28" s="43" t="s">
        <v>60</v>
      </c>
      <c r="D28" s="214" t="s">
        <v>126</v>
      </c>
      <c r="E28" s="215"/>
      <c r="F28" s="216"/>
    </row>
    <row r="29" spans="1:6" ht="20" customHeight="1" x14ac:dyDescent="0.2">
      <c r="A29" s="37" t="s">
        <v>127</v>
      </c>
      <c r="B29" s="38" t="s">
        <v>128</v>
      </c>
      <c r="C29" s="39" t="s">
        <v>60</v>
      </c>
      <c r="D29" s="218" t="s">
        <v>129</v>
      </c>
      <c r="E29" s="219"/>
      <c r="F29" s="220"/>
    </row>
    <row r="30" spans="1:6" ht="20" customHeight="1" x14ac:dyDescent="0.2">
      <c r="A30" s="41" t="s">
        <v>130</v>
      </c>
      <c r="B30" s="42" t="s">
        <v>131</v>
      </c>
      <c r="C30" s="43" t="s">
        <v>60</v>
      </c>
      <c r="D30" s="214" t="s">
        <v>132</v>
      </c>
      <c r="E30" s="215"/>
      <c r="F30" s="216"/>
    </row>
    <row r="31" spans="1:6" ht="20" customHeight="1" x14ac:dyDescent="0.2">
      <c r="A31" s="37" t="s">
        <v>23</v>
      </c>
      <c r="B31" s="38" t="s">
        <v>133</v>
      </c>
      <c r="C31" s="39" t="s">
        <v>134</v>
      </c>
      <c r="D31" s="218" t="s">
        <v>135</v>
      </c>
      <c r="E31" s="219"/>
      <c r="F31" s="220"/>
    </row>
    <row r="32" spans="1:6" ht="20" customHeight="1" x14ac:dyDescent="0.2">
      <c r="A32" s="41" t="s">
        <v>136</v>
      </c>
      <c r="B32" s="42" t="s">
        <v>137</v>
      </c>
      <c r="C32" s="43" t="s">
        <v>138</v>
      </c>
      <c r="D32" s="214" t="s">
        <v>139</v>
      </c>
      <c r="E32" s="215"/>
      <c r="F32" s="216"/>
    </row>
    <row r="33" spans="1:6" ht="20" customHeight="1" x14ac:dyDescent="0.2">
      <c r="A33" s="37" t="s">
        <v>140</v>
      </c>
      <c r="B33" s="38" t="s">
        <v>141</v>
      </c>
      <c r="C33" s="39" t="s">
        <v>60</v>
      </c>
      <c r="D33" s="218" t="s">
        <v>142</v>
      </c>
      <c r="E33" s="219"/>
      <c r="F33" s="220"/>
    </row>
    <row r="34" spans="1:6" ht="20" customHeight="1" x14ac:dyDescent="0.2">
      <c r="A34" s="41" t="s">
        <v>29</v>
      </c>
      <c r="B34" s="42" t="s">
        <v>143</v>
      </c>
      <c r="C34" s="43" t="s">
        <v>60</v>
      </c>
      <c r="D34" s="214" t="s">
        <v>144</v>
      </c>
      <c r="E34" s="215"/>
      <c r="F34" s="216"/>
    </row>
    <row r="35" spans="1:6" ht="20" customHeight="1" x14ac:dyDescent="0.2">
      <c r="A35" s="45" t="s">
        <v>145</v>
      </c>
      <c r="B35" s="46" t="s">
        <v>146</v>
      </c>
      <c r="C35" s="47" t="s">
        <v>60</v>
      </c>
      <c r="D35" s="211" t="s">
        <v>147</v>
      </c>
      <c r="E35" s="212"/>
      <c r="F35" s="213"/>
    </row>
  </sheetData>
  <mergeCells count="23">
    <mergeCell ref="D28:F28"/>
    <mergeCell ref="E10:F10"/>
    <mergeCell ref="A23:F23"/>
    <mergeCell ref="A4:F4"/>
    <mergeCell ref="D30:F30"/>
    <mergeCell ref="D25:F25"/>
    <mergeCell ref="E9:F9"/>
    <mergeCell ref="A1:F1"/>
    <mergeCell ref="D35:F35"/>
    <mergeCell ref="D26:F26"/>
    <mergeCell ref="D34:F34"/>
    <mergeCell ref="E7:F7"/>
    <mergeCell ref="D31:F31"/>
    <mergeCell ref="D33:F33"/>
    <mergeCell ref="E6:F6"/>
    <mergeCell ref="D29:F29"/>
    <mergeCell ref="A13:F13"/>
    <mergeCell ref="E11:F11"/>
    <mergeCell ref="D27:F27"/>
    <mergeCell ref="D32:F32"/>
    <mergeCell ref="A3:F3"/>
    <mergeCell ref="E8:F8"/>
    <mergeCell ref="A2:F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showGridLines="0" topLeftCell="A17" workbookViewId="0">
      <selection sqref="A1:F1"/>
    </sheetView>
  </sheetViews>
  <sheetFormatPr baseColWidth="10" defaultColWidth="8.83203125" defaultRowHeight="15" x14ac:dyDescent="0.2"/>
  <cols>
    <col min="1" max="1" width="32" customWidth="1"/>
    <col min="2" max="6" width="17" customWidth="1"/>
    <col min="7" max="7" width="3" customWidth="1"/>
    <col min="8" max="8" width="28" customWidth="1"/>
    <col min="9" max="9" width="16" customWidth="1"/>
  </cols>
  <sheetData>
    <row r="1" spans="1:6" ht="40" customHeight="1" x14ac:dyDescent="0.2">
      <c r="A1" s="204" t="s">
        <v>148</v>
      </c>
      <c r="B1" s="205"/>
      <c r="C1" s="205"/>
      <c r="D1" s="205"/>
      <c r="E1" s="205"/>
      <c r="F1" s="205"/>
    </row>
    <row r="2" spans="1:6" ht="22" customHeight="1" x14ac:dyDescent="0.2">
      <c r="A2" s="202" t="s">
        <v>149</v>
      </c>
      <c r="B2" s="203"/>
      <c r="C2" s="203"/>
      <c r="D2" s="203"/>
      <c r="E2" s="203"/>
      <c r="F2" s="203"/>
    </row>
    <row r="3" spans="1:6" ht="4" customHeight="1" x14ac:dyDescent="0.2">
      <c r="A3" s="206"/>
      <c r="B3" s="207"/>
      <c r="C3" s="207"/>
      <c r="D3" s="207"/>
      <c r="E3" s="207"/>
      <c r="F3" s="208"/>
    </row>
    <row r="4" spans="1:6" ht="20" customHeight="1" x14ac:dyDescent="0.2">
      <c r="A4" s="199" t="s">
        <v>150</v>
      </c>
      <c r="B4" s="200"/>
      <c r="C4" s="200"/>
      <c r="D4" s="200"/>
      <c r="E4" s="200"/>
      <c r="F4" s="201"/>
    </row>
    <row r="5" spans="1:6" ht="28" customHeight="1" x14ac:dyDescent="0.2">
      <c r="A5" s="11" t="s">
        <v>111</v>
      </c>
      <c r="B5" s="12" t="s">
        <v>151</v>
      </c>
      <c r="C5" s="12" t="s">
        <v>152</v>
      </c>
      <c r="D5" s="12" t="s">
        <v>153</v>
      </c>
      <c r="E5" s="12" t="s">
        <v>154</v>
      </c>
      <c r="F5" s="13" t="s">
        <v>155</v>
      </c>
    </row>
    <row r="6" spans="1:6" x14ac:dyDescent="0.2">
      <c r="A6" s="48" t="s">
        <v>156</v>
      </c>
      <c r="B6" s="49">
        <v>182527</v>
      </c>
      <c r="C6" s="49">
        <v>257637</v>
      </c>
      <c r="D6" s="49">
        <v>282836</v>
      </c>
      <c r="E6" s="49">
        <v>307394</v>
      </c>
      <c r="F6" s="50">
        <v>350018</v>
      </c>
    </row>
    <row r="7" spans="1:6" x14ac:dyDescent="0.2">
      <c r="A7" s="29" t="s">
        <v>157</v>
      </c>
      <c r="B7" s="30">
        <v>84732</v>
      </c>
      <c r="C7" s="30">
        <v>110939</v>
      </c>
      <c r="D7" s="30">
        <v>126203</v>
      </c>
      <c r="E7" s="30">
        <v>133332</v>
      </c>
      <c r="F7" s="51">
        <v>146306</v>
      </c>
    </row>
    <row r="8" spans="1:6" x14ac:dyDescent="0.2">
      <c r="A8" s="25" t="s">
        <v>158</v>
      </c>
      <c r="B8" s="26">
        <v>97795</v>
      </c>
      <c r="C8" s="26">
        <v>146698</v>
      </c>
      <c r="D8" s="26">
        <v>156633</v>
      </c>
      <c r="E8" s="26">
        <v>174062</v>
      </c>
      <c r="F8" s="52">
        <v>203712</v>
      </c>
    </row>
    <row r="9" spans="1:6" x14ac:dyDescent="0.2">
      <c r="A9" s="29" t="s">
        <v>159</v>
      </c>
      <c r="B9" s="30">
        <v>27573</v>
      </c>
      <c r="C9" s="30">
        <v>31562</v>
      </c>
      <c r="D9" s="30">
        <v>39500</v>
      </c>
      <c r="E9" s="30">
        <v>45427</v>
      </c>
      <c r="F9" s="51">
        <v>49316</v>
      </c>
    </row>
    <row r="10" spans="1:6" x14ac:dyDescent="0.2">
      <c r="A10" s="37" t="s">
        <v>160</v>
      </c>
      <c r="B10" s="15">
        <v>41224</v>
      </c>
      <c r="C10" s="15">
        <v>78714</v>
      </c>
      <c r="D10" s="15">
        <v>74842</v>
      </c>
      <c r="E10" s="15">
        <v>84293</v>
      </c>
      <c r="F10" s="53">
        <v>112390</v>
      </c>
    </row>
    <row r="11" spans="1:6" x14ac:dyDescent="0.2">
      <c r="A11" s="48" t="s">
        <v>161</v>
      </c>
      <c r="B11" s="49">
        <v>40269</v>
      </c>
      <c r="C11" s="49">
        <v>76033</v>
      </c>
      <c r="D11" s="49">
        <v>59972</v>
      </c>
      <c r="E11" s="49">
        <v>73795</v>
      </c>
      <c r="F11" s="50">
        <v>100118</v>
      </c>
    </row>
    <row r="12" spans="1:6" x14ac:dyDescent="0.2">
      <c r="A12" s="54" t="s">
        <v>162</v>
      </c>
      <c r="B12" s="55">
        <v>13059</v>
      </c>
      <c r="C12" s="55">
        <v>19206</v>
      </c>
      <c r="D12" s="55">
        <v>26280</v>
      </c>
      <c r="E12" s="55">
        <v>33088</v>
      </c>
      <c r="F12" s="56">
        <v>43228</v>
      </c>
    </row>
    <row r="14" spans="1:6" ht="20" customHeight="1" x14ac:dyDescent="0.2">
      <c r="A14" s="199" t="s">
        <v>163</v>
      </c>
      <c r="B14" s="200"/>
      <c r="C14" s="200"/>
      <c r="D14" s="200"/>
      <c r="E14" s="200"/>
      <c r="F14" s="201"/>
    </row>
    <row r="15" spans="1:6" ht="28" customHeight="1" x14ac:dyDescent="0.2">
      <c r="A15" s="11" t="s">
        <v>111</v>
      </c>
      <c r="B15" s="12" t="s">
        <v>151</v>
      </c>
      <c r="C15" s="12" t="s">
        <v>152</v>
      </c>
      <c r="D15" s="12" t="s">
        <v>153</v>
      </c>
      <c r="E15" s="12" t="s">
        <v>154</v>
      </c>
      <c r="F15" s="13" t="s">
        <v>155</v>
      </c>
    </row>
    <row r="16" spans="1:6" x14ac:dyDescent="0.2">
      <c r="A16" s="25" t="s">
        <v>164</v>
      </c>
      <c r="B16" s="57">
        <v>55.6</v>
      </c>
      <c r="C16" s="57">
        <v>56.9</v>
      </c>
      <c r="D16" s="57">
        <v>55.3</v>
      </c>
      <c r="E16" s="57">
        <v>56.6</v>
      </c>
      <c r="F16" s="58">
        <v>58.1</v>
      </c>
    </row>
    <row r="17" spans="1:6" x14ac:dyDescent="0.2">
      <c r="A17" s="41" t="s">
        <v>165</v>
      </c>
      <c r="B17" s="59">
        <v>0.55600000000000005</v>
      </c>
      <c r="C17" s="59">
        <v>0.56899999999999995</v>
      </c>
      <c r="D17" s="59">
        <v>0.55299999999999994</v>
      </c>
      <c r="E17" s="59">
        <v>0.56600000000000006</v>
      </c>
      <c r="F17" s="60">
        <v>0.58099999999999996</v>
      </c>
    </row>
    <row r="18" spans="1:6" x14ac:dyDescent="0.2">
      <c r="A18" s="37" t="s">
        <v>166</v>
      </c>
      <c r="B18" s="61">
        <v>0.22600000000000001</v>
      </c>
      <c r="C18" s="61">
        <v>0.30599999999999999</v>
      </c>
      <c r="D18" s="61">
        <v>0.26500000000000001</v>
      </c>
      <c r="E18" s="61">
        <v>0.27400000000000002</v>
      </c>
      <c r="F18" s="62">
        <v>0.32100000000000001</v>
      </c>
    </row>
    <row r="19" spans="1:6" x14ac:dyDescent="0.2">
      <c r="A19" s="29" t="s">
        <v>167</v>
      </c>
      <c r="B19" s="63">
        <v>0.221</v>
      </c>
      <c r="C19" s="63">
        <v>0.29499999999999998</v>
      </c>
      <c r="D19" s="63">
        <v>0.21199999999999999</v>
      </c>
      <c r="E19" s="63">
        <v>0.24</v>
      </c>
      <c r="F19" s="64">
        <v>0.28599999999999998</v>
      </c>
    </row>
    <row r="20" spans="1:6" x14ac:dyDescent="0.2">
      <c r="A20" s="25" t="s">
        <v>168</v>
      </c>
      <c r="B20" s="57">
        <v>0.28999999999999998</v>
      </c>
      <c r="C20" s="57">
        <v>0.35499999999999998</v>
      </c>
      <c r="D20" s="57">
        <v>0.32500000000000001</v>
      </c>
      <c r="E20" s="57">
        <v>0.32200000000000001</v>
      </c>
      <c r="F20" s="58">
        <v>0.37</v>
      </c>
    </row>
    <row r="21" spans="1:6" x14ac:dyDescent="0.2">
      <c r="A21" s="54" t="s">
        <v>169</v>
      </c>
      <c r="B21" s="65">
        <v>0.23499999999999999</v>
      </c>
      <c r="C21" s="65">
        <v>0.26</v>
      </c>
      <c r="D21" s="65">
        <v>0.21199999999999999</v>
      </c>
      <c r="E21" s="65">
        <v>0.22600000000000001</v>
      </c>
      <c r="F21" s="66">
        <v>0.20799999999999999</v>
      </c>
    </row>
    <row r="22" spans="1:6" x14ac:dyDescent="0.2">
      <c r="B22" s="67">
        <v>-0.42899999999999999</v>
      </c>
      <c r="C22" s="67">
        <v>-0.161</v>
      </c>
      <c r="D22" s="67">
        <v>-2.7E-2</v>
      </c>
      <c r="E22" s="67">
        <v>5.1999999999999998E-2</v>
      </c>
      <c r="F22" s="67">
        <v>0.218</v>
      </c>
    </row>
    <row r="23" spans="1:6" ht="20" customHeight="1" x14ac:dyDescent="0.2">
      <c r="A23" s="199" t="s">
        <v>170</v>
      </c>
      <c r="B23" s="200"/>
      <c r="C23" s="200"/>
      <c r="D23" s="200"/>
      <c r="E23" s="200"/>
      <c r="F23" s="201"/>
    </row>
    <row r="24" spans="1:6" ht="28" customHeight="1" x14ac:dyDescent="0.2">
      <c r="A24" s="11" t="s">
        <v>111</v>
      </c>
      <c r="B24" s="12" t="s">
        <v>151</v>
      </c>
      <c r="C24" s="12" t="s">
        <v>152</v>
      </c>
      <c r="D24" s="12" t="s">
        <v>153</v>
      </c>
      <c r="E24" s="12" t="s">
        <v>154</v>
      </c>
      <c r="F24" s="13" t="s">
        <v>155</v>
      </c>
    </row>
    <row r="25" spans="1:6" x14ac:dyDescent="0.2">
      <c r="A25" s="68" t="s">
        <v>171</v>
      </c>
      <c r="B25" s="69">
        <v>131174</v>
      </c>
      <c r="C25" s="69">
        <v>139649</v>
      </c>
      <c r="D25" s="69">
        <v>113762</v>
      </c>
      <c r="E25" s="69">
        <v>110916</v>
      </c>
      <c r="F25" s="70">
        <v>110174</v>
      </c>
    </row>
    <row r="26" spans="1:6" x14ac:dyDescent="0.2">
      <c r="A26" s="48" t="s">
        <v>172</v>
      </c>
      <c r="B26" s="49">
        <v>319616</v>
      </c>
      <c r="C26" s="49">
        <v>359268</v>
      </c>
      <c r="D26" s="49">
        <v>365264</v>
      </c>
      <c r="E26" s="49">
        <v>402392</v>
      </c>
      <c r="F26" s="50">
        <v>450256</v>
      </c>
    </row>
    <row r="27" spans="1:6" x14ac:dyDescent="0.2">
      <c r="A27" s="25" t="s">
        <v>173</v>
      </c>
      <c r="B27" s="26">
        <v>13932</v>
      </c>
      <c r="C27" s="26">
        <v>14817</v>
      </c>
      <c r="D27" s="26">
        <v>14701</v>
      </c>
      <c r="E27" s="26">
        <v>13253</v>
      </c>
      <c r="F27" s="52">
        <v>10818</v>
      </c>
    </row>
    <row r="28" spans="1:6" x14ac:dyDescent="0.2">
      <c r="A28" s="41" t="s">
        <v>174</v>
      </c>
      <c r="B28" s="19">
        <v>222545</v>
      </c>
      <c r="C28" s="19">
        <v>251635</v>
      </c>
      <c r="D28" s="19">
        <v>256144</v>
      </c>
      <c r="E28" s="19">
        <v>283379</v>
      </c>
      <c r="F28" s="71">
        <v>325084</v>
      </c>
    </row>
    <row r="29" spans="1:6" x14ac:dyDescent="0.2">
      <c r="A29" s="25" t="s">
        <v>27</v>
      </c>
      <c r="B29" s="26">
        <v>21175</v>
      </c>
      <c r="C29" s="26">
        <v>22956</v>
      </c>
      <c r="D29" s="26">
        <v>28960</v>
      </c>
      <c r="E29" s="26">
        <v>29198</v>
      </c>
      <c r="F29" s="52">
        <v>32838</v>
      </c>
    </row>
    <row r="30" spans="1:6" x14ac:dyDescent="0.2">
      <c r="A30" s="72" t="s">
        <v>175</v>
      </c>
      <c r="B30" s="73">
        <v>1185000</v>
      </c>
      <c r="C30" s="73">
        <v>1921000</v>
      </c>
      <c r="D30" s="73">
        <v>1140000</v>
      </c>
      <c r="E30" s="73">
        <v>1756000</v>
      </c>
      <c r="F30" s="74">
        <v>2030000</v>
      </c>
    </row>
    <row r="32" spans="1:6" ht="20" customHeight="1" x14ac:dyDescent="0.2">
      <c r="A32" s="199" t="s">
        <v>176</v>
      </c>
      <c r="B32" s="200"/>
      <c r="C32" s="200"/>
      <c r="D32" s="200"/>
      <c r="E32" s="200"/>
      <c r="F32" s="201"/>
    </row>
    <row r="33" spans="1:6" ht="28" customHeight="1" x14ac:dyDescent="0.2">
      <c r="A33" s="11" t="s">
        <v>111</v>
      </c>
      <c r="B33" s="12" t="s">
        <v>151</v>
      </c>
      <c r="C33" s="12" t="s">
        <v>152</v>
      </c>
      <c r="D33" s="12" t="s">
        <v>153</v>
      </c>
      <c r="E33" s="12" t="s">
        <v>154</v>
      </c>
      <c r="F33" s="13" t="s">
        <v>155</v>
      </c>
    </row>
    <row r="34" spans="1:6" x14ac:dyDescent="0.2">
      <c r="A34" s="48" t="s">
        <v>177</v>
      </c>
      <c r="B34" s="49">
        <v>65124</v>
      </c>
      <c r="C34" s="49">
        <v>91652</v>
      </c>
      <c r="D34" s="49">
        <v>91495</v>
      </c>
      <c r="E34" s="49">
        <v>101746</v>
      </c>
      <c r="F34" s="50">
        <v>125333</v>
      </c>
    </row>
    <row r="35" spans="1:6" x14ac:dyDescent="0.2">
      <c r="A35" s="29" t="s">
        <v>178</v>
      </c>
      <c r="B35" s="30">
        <v>-22461</v>
      </c>
      <c r="C35" s="30">
        <v>-24273</v>
      </c>
      <c r="D35" s="30">
        <v>-31485</v>
      </c>
      <c r="E35" s="30">
        <v>-32251</v>
      </c>
      <c r="F35" s="51">
        <v>-52535</v>
      </c>
    </row>
    <row r="36" spans="1:6" x14ac:dyDescent="0.2">
      <c r="A36" s="68" t="s">
        <v>179</v>
      </c>
      <c r="B36" s="69">
        <v>42843</v>
      </c>
      <c r="C36" s="69">
        <v>67012</v>
      </c>
      <c r="D36" s="69">
        <v>60010</v>
      </c>
      <c r="E36" s="69">
        <v>69495</v>
      </c>
      <c r="F36" s="70">
        <v>72764</v>
      </c>
    </row>
    <row r="37" spans="1:6" x14ac:dyDescent="0.2">
      <c r="A37" s="75" t="s">
        <v>180</v>
      </c>
      <c r="B37" s="76">
        <v>31149</v>
      </c>
      <c r="C37" s="76">
        <v>50274</v>
      </c>
      <c r="D37" s="76">
        <v>59296</v>
      </c>
      <c r="E37" s="76">
        <v>61504</v>
      </c>
      <c r="F37" s="77">
        <v>61778</v>
      </c>
    </row>
    <row r="39" spans="1:6" ht="20" customHeight="1" x14ac:dyDescent="0.2">
      <c r="A39" s="199" t="s">
        <v>181</v>
      </c>
      <c r="B39" s="200"/>
      <c r="C39" s="200"/>
      <c r="D39" s="200"/>
      <c r="E39" s="200"/>
      <c r="F39" s="201"/>
    </row>
    <row r="40" spans="1:6" ht="28" customHeight="1" x14ac:dyDescent="0.2">
      <c r="A40" s="11" t="s">
        <v>111</v>
      </c>
      <c r="B40" s="12" t="s">
        <v>151</v>
      </c>
      <c r="C40" s="12" t="s">
        <v>152</v>
      </c>
      <c r="D40" s="12" t="s">
        <v>153</v>
      </c>
      <c r="E40" s="12" t="s">
        <v>154</v>
      </c>
      <c r="F40" s="13" t="s">
        <v>155</v>
      </c>
    </row>
    <row r="41" spans="1:6" x14ac:dyDescent="0.2">
      <c r="A41" s="25" t="s">
        <v>182</v>
      </c>
      <c r="B41" s="78">
        <v>29.4</v>
      </c>
      <c r="C41" s="78">
        <v>25.3</v>
      </c>
      <c r="D41" s="78">
        <v>19</v>
      </c>
      <c r="E41" s="78">
        <v>23.8</v>
      </c>
      <c r="F41" s="79">
        <v>20.3</v>
      </c>
    </row>
    <row r="42" spans="1:6" x14ac:dyDescent="0.2">
      <c r="A42" s="29" t="s">
        <v>183</v>
      </c>
      <c r="B42" s="80">
        <v>5.9</v>
      </c>
      <c r="C42" s="80">
        <v>7</v>
      </c>
      <c r="D42" s="80">
        <v>3.7</v>
      </c>
      <c r="E42" s="80">
        <v>5.4</v>
      </c>
      <c r="F42" s="81">
        <v>5.5</v>
      </c>
    </row>
    <row r="43" spans="1:6" x14ac:dyDescent="0.2">
      <c r="A43" s="25" t="s">
        <v>184</v>
      </c>
      <c r="B43" s="78">
        <v>20.399999999999999</v>
      </c>
      <c r="C43" s="78">
        <v>24.7</v>
      </c>
      <c r="D43" s="78">
        <v>11.5</v>
      </c>
      <c r="E43" s="78">
        <v>16.8</v>
      </c>
      <c r="F43" s="79">
        <v>14.9</v>
      </c>
    </row>
    <row r="44" spans="1:6" x14ac:dyDescent="0.2">
      <c r="A44" s="75" t="s">
        <v>185</v>
      </c>
      <c r="B44" s="82">
        <v>0.18099999999999999</v>
      </c>
      <c r="C44" s="82">
        <v>0.30199999999999999</v>
      </c>
      <c r="D44" s="82">
        <v>0.23400000000000001</v>
      </c>
      <c r="E44" s="82">
        <v>0.26</v>
      </c>
      <c r="F44" s="83">
        <v>0.308</v>
      </c>
    </row>
    <row r="47" spans="1:6" ht="1" customHeight="1" x14ac:dyDescent="0.2">
      <c r="A47">
        <v>2020</v>
      </c>
      <c r="B47">
        <v>2021</v>
      </c>
      <c r="C47">
        <v>2022</v>
      </c>
      <c r="D47">
        <v>2023</v>
      </c>
      <c r="E47">
        <v>2024</v>
      </c>
    </row>
    <row r="48" spans="1:6" ht="1" customHeight="1" x14ac:dyDescent="0.2">
      <c r="A48">
        <v>182527</v>
      </c>
      <c r="B48">
        <v>257637</v>
      </c>
      <c r="C48">
        <v>282836</v>
      </c>
      <c r="D48">
        <v>307394</v>
      </c>
      <c r="E48">
        <v>350018</v>
      </c>
    </row>
    <row r="49" spans="1:5" ht="1" customHeight="1" x14ac:dyDescent="0.2">
      <c r="A49">
        <v>40269</v>
      </c>
      <c r="B49">
        <v>76033</v>
      </c>
      <c r="C49">
        <v>59972</v>
      </c>
      <c r="D49">
        <v>73795</v>
      </c>
      <c r="E49">
        <v>100118</v>
      </c>
    </row>
    <row r="50" spans="1:5" ht="1" customHeight="1" x14ac:dyDescent="0.2">
      <c r="A50">
        <v>13059</v>
      </c>
      <c r="B50">
        <v>19206</v>
      </c>
      <c r="C50">
        <v>26280</v>
      </c>
      <c r="D50">
        <v>33088</v>
      </c>
      <c r="E50">
        <v>43228</v>
      </c>
    </row>
  </sheetData>
  <mergeCells count="8">
    <mergeCell ref="A39:F39"/>
    <mergeCell ref="A2:F2"/>
    <mergeCell ref="A14:F14"/>
    <mergeCell ref="A1:F1"/>
    <mergeCell ref="A23:F23"/>
    <mergeCell ref="A32:F32"/>
    <mergeCell ref="A4:F4"/>
    <mergeCell ref="A3:F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36" customWidth="1"/>
    <col min="2" max="6" width="18" customWidth="1"/>
    <col min="7" max="7" width="3" customWidth="1"/>
    <col min="8" max="8" width="28" customWidth="1"/>
    <col min="9" max="9" width="16" customWidth="1"/>
  </cols>
  <sheetData>
    <row r="1" spans="1:9" ht="40" customHeight="1" x14ac:dyDescent="0.2">
      <c r="A1" s="204" t="s">
        <v>186</v>
      </c>
      <c r="B1" s="205"/>
      <c r="C1" s="205"/>
      <c r="D1" s="205"/>
      <c r="E1" s="205"/>
      <c r="F1" s="205"/>
    </row>
    <row r="2" spans="1:9" ht="22" customHeight="1" x14ac:dyDescent="0.2">
      <c r="A2" s="202" t="s">
        <v>187</v>
      </c>
      <c r="B2" s="203"/>
      <c r="C2" s="203"/>
      <c r="D2" s="203"/>
      <c r="E2" s="203"/>
      <c r="F2" s="203"/>
    </row>
    <row r="3" spans="1:9" ht="4" customHeight="1" x14ac:dyDescent="0.2">
      <c r="A3" s="206"/>
      <c r="B3" s="207"/>
      <c r="C3" s="207"/>
      <c r="D3" s="207"/>
      <c r="E3" s="207"/>
      <c r="F3" s="208"/>
    </row>
    <row r="4" spans="1:9" ht="22" customHeight="1" x14ac:dyDescent="0.2">
      <c r="A4" s="199" t="s">
        <v>188</v>
      </c>
      <c r="B4" s="200"/>
      <c r="C4" s="200"/>
      <c r="D4" s="200"/>
      <c r="E4" s="200"/>
      <c r="F4" s="201"/>
      <c r="H4" s="224" t="s">
        <v>189</v>
      </c>
      <c r="I4" s="225"/>
    </row>
    <row r="5" spans="1:9" ht="17" customHeight="1" x14ac:dyDescent="0.2">
      <c r="A5" s="84" t="s">
        <v>190</v>
      </c>
      <c r="B5" s="85">
        <v>0.1</v>
      </c>
      <c r="C5" s="226" t="s">
        <v>191</v>
      </c>
      <c r="D5" s="227"/>
      <c r="E5" s="227"/>
      <c r="F5" s="228"/>
      <c r="H5" s="87" t="s">
        <v>192</v>
      </c>
      <c r="I5" s="88" t="s">
        <v>193</v>
      </c>
    </row>
    <row r="6" spans="1:9" ht="17" customHeight="1" x14ac:dyDescent="0.2">
      <c r="A6" s="84" t="s">
        <v>194</v>
      </c>
      <c r="B6" s="89">
        <v>12</v>
      </c>
      <c r="C6" s="226" t="s">
        <v>195</v>
      </c>
      <c r="D6" s="227"/>
      <c r="E6" s="227"/>
      <c r="F6" s="228"/>
      <c r="H6" s="90" t="s">
        <v>196</v>
      </c>
      <c r="I6" s="91" t="s">
        <v>197</v>
      </c>
    </row>
    <row r="7" spans="1:9" ht="17" customHeight="1" x14ac:dyDescent="0.2">
      <c r="A7" s="84" t="s">
        <v>198</v>
      </c>
      <c r="B7" s="92">
        <v>500</v>
      </c>
      <c r="C7" s="226" t="s">
        <v>199</v>
      </c>
      <c r="D7" s="227"/>
      <c r="E7" s="227"/>
      <c r="F7" s="228"/>
      <c r="H7" s="87" t="s">
        <v>200</v>
      </c>
      <c r="I7" s="93">
        <v>0.1</v>
      </c>
    </row>
    <row r="8" spans="1:9" ht="17" customHeight="1" x14ac:dyDescent="0.2">
      <c r="A8" s="37" t="s">
        <v>201</v>
      </c>
      <c r="B8" s="61">
        <v>0.16400000000000001</v>
      </c>
      <c r="C8" s="94"/>
      <c r="D8" s="94"/>
      <c r="E8" s="94"/>
      <c r="F8" s="95"/>
      <c r="H8" s="90" t="s">
        <v>202</v>
      </c>
      <c r="I8" s="91" t="s">
        <v>203</v>
      </c>
    </row>
    <row r="9" spans="1:9" ht="17" customHeight="1" x14ac:dyDescent="0.2">
      <c r="A9" s="41" t="s">
        <v>204</v>
      </c>
      <c r="B9" s="59">
        <v>0.05</v>
      </c>
      <c r="C9" s="94"/>
      <c r="D9" s="94"/>
      <c r="E9" s="94"/>
      <c r="F9" s="95"/>
      <c r="H9" s="87" t="s">
        <v>205</v>
      </c>
      <c r="I9" s="96">
        <v>500</v>
      </c>
    </row>
    <row r="10" spans="1:9" ht="17" customHeight="1" x14ac:dyDescent="0.2">
      <c r="A10" s="37" t="s">
        <v>206</v>
      </c>
      <c r="B10" s="61">
        <v>0.08</v>
      </c>
      <c r="C10" s="94"/>
      <c r="D10" s="94"/>
      <c r="E10" s="94"/>
      <c r="F10" s="95"/>
      <c r="H10" s="90" t="s">
        <v>201</v>
      </c>
      <c r="I10" s="97">
        <v>0.16400000000000001</v>
      </c>
    </row>
    <row r="11" spans="1:9" ht="17" customHeight="1" x14ac:dyDescent="0.2">
      <c r="A11" s="98" t="s">
        <v>207</v>
      </c>
      <c r="B11" s="99">
        <v>0.02</v>
      </c>
      <c r="C11" s="100"/>
      <c r="D11" s="100"/>
      <c r="E11" s="100"/>
      <c r="F11" s="101"/>
      <c r="H11" s="87" t="s">
        <v>208</v>
      </c>
      <c r="I11" s="102">
        <v>0.05</v>
      </c>
    </row>
    <row r="12" spans="1:9" ht="17" customHeight="1" x14ac:dyDescent="0.2">
      <c r="H12" s="90" t="s">
        <v>209</v>
      </c>
      <c r="I12" s="97">
        <v>0.08</v>
      </c>
    </row>
    <row r="13" spans="1:9" ht="17" customHeight="1" x14ac:dyDescent="0.2">
      <c r="A13" s="199" t="s">
        <v>210</v>
      </c>
      <c r="B13" s="200"/>
      <c r="C13" s="200"/>
      <c r="D13" s="200"/>
      <c r="E13" s="200"/>
      <c r="F13" s="201"/>
      <c r="H13" s="87" t="s">
        <v>211</v>
      </c>
      <c r="I13" s="102">
        <v>0.02</v>
      </c>
    </row>
    <row r="14" spans="1:9" ht="17" customHeight="1" x14ac:dyDescent="0.2">
      <c r="A14" s="11" t="s">
        <v>111</v>
      </c>
      <c r="B14" s="12" t="s">
        <v>212</v>
      </c>
      <c r="C14" s="12" t="s">
        <v>213</v>
      </c>
      <c r="D14" s="12" t="s">
        <v>214</v>
      </c>
      <c r="E14" s="12" t="s">
        <v>215</v>
      </c>
      <c r="F14" s="13" t="s">
        <v>216</v>
      </c>
      <c r="H14" s="90" t="s">
        <v>217</v>
      </c>
      <c r="I14" s="103">
        <v>16472.610091296541</v>
      </c>
    </row>
    <row r="15" spans="1:9" ht="17" customHeight="1" x14ac:dyDescent="0.2">
      <c r="A15" s="84" t="s">
        <v>218</v>
      </c>
      <c r="B15" s="104">
        <v>0.55000000000000004</v>
      </c>
      <c r="C15" s="104">
        <v>0.4</v>
      </c>
      <c r="D15" s="104">
        <v>0.33</v>
      </c>
      <c r="E15" s="104">
        <v>0.27</v>
      </c>
      <c r="F15" s="105">
        <v>0.2</v>
      </c>
      <c r="H15" s="87" t="s">
        <v>219</v>
      </c>
      <c r="I15" s="96">
        <v>32000</v>
      </c>
    </row>
    <row r="16" spans="1:9" ht="17" customHeight="1" x14ac:dyDescent="0.2">
      <c r="A16" s="106" t="s">
        <v>220</v>
      </c>
      <c r="B16" s="107">
        <f>B7*(1+B15)</f>
        <v>775</v>
      </c>
      <c r="C16" s="107">
        <f>B16*(1+C15)</f>
        <v>1085</v>
      </c>
      <c r="D16" s="107">
        <f>C16*(1+D15)</f>
        <v>1443.0500000000002</v>
      </c>
      <c r="E16" s="107">
        <f>D16*(1+E15)</f>
        <v>1832.6735000000003</v>
      </c>
      <c r="F16" s="108">
        <f>E16*(1+F15)</f>
        <v>2199.2082000000005</v>
      </c>
      <c r="H16" s="90" t="s">
        <v>221</v>
      </c>
      <c r="I16" s="91" t="s">
        <v>222</v>
      </c>
    </row>
    <row r="17" spans="1:9" ht="17" customHeight="1" x14ac:dyDescent="0.2">
      <c r="H17" s="109" t="s">
        <v>223</v>
      </c>
      <c r="I17" s="110" t="s">
        <v>224</v>
      </c>
    </row>
    <row r="18" spans="1:9" ht="20" customHeight="1" x14ac:dyDescent="0.2">
      <c r="A18" s="199" t="s">
        <v>225</v>
      </c>
      <c r="B18" s="200"/>
      <c r="C18" s="200"/>
      <c r="D18" s="200"/>
      <c r="E18" s="200"/>
      <c r="F18" s="201"/>
    </row>
    <row r="19" spans="1:9" ht="28" customHeight="1" x14ac:dyDescent="0.2">
      <c r="A19" s="11" t="s">
        <v>111</v>
      </c>
      <c r="B19" s="12" t="s">
        <v>212</v>
      </c>
      <c r="C19" s="12" t="s">
        <v>213</v>
      </c>
      <c r="D19" s="12" t="s">
        <v>214</v>
      </c>
      <c r="E19" s="12" t="s">
        <v>215</v>
      </c>
      <c r="F19" s="13" t="s">
        <v>216</v>
      </c>
    </row>
    <row r="20" spans="1:9" x14ac:dyDescent="0.2">
      <c r="A20" s="84" t="s">
        <v>226</v>
      </c>
      <c r="B20" s="104">
        <v>-0.2</v>
      </c>
      <c r="C20" s="104">
        <v>-0.08</v>
      </c>
      <c r="D20" s="104">
        <v>0.06</v>
      </c>
      <c r="E20" s="104">
        <v>0.17</v>
      </c>
      <c r="F20" s="105">
        <v>0.26</v>
      </c>
    </row>
    <row r="21" spans="1:9" x14ac:dyDescent="0.2">
      <c r="A21" s="98" t="s">
        <v>227</v>
      </c>
      <c r="B21" s="111">
        <f>B16*B20</f>
        <v>-155</v>
      </c>
      <c r="C21" s="111">
        <f>C16*C20</f>
        <v>-86.8</v>
      </c>
      <c r="D21" s="111">
        <f>D16*D20</f>
        <v>86.583000000000013</v>
      </c>
      <c r="E21" s="111">
        <f>E16*E20</f>
        <v>311.55449500000009</v>
      </c>
      <c r="F21" s="112">
        <f>F16*F20</f>
        <v>571.7941320000001</v>
      </c>
    </row>
    <row r="23" spans="1:9" ht="20" customHeight="1" x14ac:dyDescent="0.2">
      <c r="A23" s="199" t="s">
        <v>228</v>
      </c>
      <c r="B23" s="200"/>
      <c r="C23" s="200"/>
      <c r="D23" s="200"/>
      <c r="E23" s="200"/>
      <c r="F23" s="201"/>
    </row>
    <row r="24" spans="1:9" ht="28" customHeight="1" x14ac:dyDescent="0.2">
      <c r="A24" s="11" t="s">
        <v>229</v>
      </c>
      <c r="B24" s="12" t="s">
        <v>212</v>
      </c>
      <c r="C24" s="12" t="s">
        <v>213</v>
      </c>
      <c r="D24" s="12" t="s">
        <v>214</v>
      </c>
      <c r="E24" s="12" t="s">
        <v>215</v>
      </c>
      <c r="F24" s="13" t="s">
        <v>216</v>
      </c>
    </row>
    <row r="25" spans="1:9" x14ac:dyDescent="0.2">
      <c r="A25" s="25" t="s">
        <v>230</v>
      </c>
      <c r="B25" s="113">
        <f>B21*(1-B8)</f>
        <v>-129.57999999999998</v>
      </c>
      <c r="C25" s="113">
        <f>C21*(1-B8)</f>
        <v>-72.564799999999991</v>
      </c>
      <c r="D25" s="113">
        <f>D21*(1-B8)</f>
        <v>72.383388000000011</v>
      </c>
      <c r="E25" s="113">
        <f>E21*(1-B8)</f>
        <v>260.45955782000004</v>
      </c>
      <c r="F25" s="114">
        <f>F21*(1-B8)</f>
        <v>478.01989435200005</v>
      </c>
    </row>
    <row r="26" spans="1:9" x14ac:dyDescent="0.2">
      <c r="A26" s="29" t="s">
        <v>231</v>
      </c>
      <c r="B26" s="113">
        <f>B16*B9</f>
        <v>38.75</v>
      </c>
      <c r="C26" s="113">
        <f>C16*B9</f>
        <v>54.25</v>
      </c>
      <c r="D26" s="113">
        <f>D16*B9</f>
        <v>72.152500000000018</v>
      </c>
      <c r="E26" s="113">
        <f>E16*B9</f>
        <v>91.633675000000025</v>
      </c>
      <c r="F26" s="114">
        <f>F16*B9</f>
        <v>109.96041000000002</v>
      </c>
    </row>
    <row r="27" spans="1:9" x14ac:dyDescent="0.2">
      <c r="A27" s="25" t="s">
        <v>232</v>
      </c>
      <c r="B27" s="113">
        <f>-B16*B10</f>
        <v>-62</v>
      </c>
      <c r="C27" s="113">
        <f>-C16*B10</f>
        <v>-86.8</v>
      </c>
      <c r="D27" s="113">
        <f>-D16*B10</f>
        <v>-115.44400000000002</v>
      </c>
      <c r="E27" s="113">
        <f>-E16*B10</f>
        <v>-146.61388000000002</v>
      </c>
      <c r="F27" s="114">
        <f>-F16*B10</f>
        <v>-175.93665600000006</v>
      </c>
    </row>
    <row r="28" spans="1:9" x14ac:dyDescent="0.2">
      <c r="A28" s="29" t="s">
        <v>233</v>
      </c>
      <c r="B28" s="113">
        <f>-B16*B11</f>
        <v>-15.5</v>
      </c>
      <c r="C28" s="113">
        <f>-C16*B11</f>
        <v>-21.7</v>
      </c>
      <c r="D28" s="113">
        <f>-D16*B11</f>
        <v>-28.861000000000004</v>
      </c>
      <c r="E28" s="113">
        <f>-E16*B11</f>
        <v>-36.653470000000006</v>
      </c>
      <c r="F28" s="114">
        <f>-F16*B11</f>
        <v>-43.984164000000014</v>
      </c>
    </row>
    <row r="29" spans="1:9" x14ac:dyDescent="0.2">
      <c r="A29" s="48" t="s">
        <v>193</v>
      </c>
      <c r="B29" s="115">
        <f>B25+B26+B27+B28</f>
        <v>-168.32999999999998</v>
      </c>
      <c r="C29" s="115">
        <f>C25+C26+C27+C28</f>
        <v>-126.81479999999999</v>
      </c>
      <c r="D29" s="115">
        <f>D25+D26+D27+D28</f>
        <v>0.23088800000000731</v>
      </c>
      <c r="E29" s="115">
        <f>E25+E26+E27+E28</f>
        <v>168.82588282000006</v>
      </c>
      <c r="F29" s="116">
        <f>F25+F26+F27+F28</f>
        <v>368.05948435199997</v>
      </c>
    </row>
    <row r="30" spans="1:9" x14ac:dyDescent="0.2">
      <c r="A30" s="75" t="s">
        <v>234</v>
      </c>
      <c r="B30" s="111">
        <f>B29/(1+B5)^1</f>
        <v>-153.0272727272727</v>
      </c>
      <c r="C30" s="111">
        <f>C29/(1+B5)^2</f>
        <v>-104.80561983471073</v>
      </c>
      <c r="D30" s="111">
        <f>D29/(1+B5)^3</f>
        <v>0.17346957175056893</v>
      </c>
      <c r="E30" s="111">
        <f>E29/(1+B5)^4</f>
        <v>115.31034957994673</v>
      </c>
      <c r="F30" s="112">
        <f>F29/(1+B5)^5</f>
        <v>228.53598198831418</v>
      </c>
    </row>
    <row r="32" spans="1:9" ht="20" customHeight="1" x14ac:dyDescent="0.2">
      <c r="A32" s="199" t="s">
        <v>235</v>
      </c>
      <c r="B32" s="200"/>
      <c r="C32" s="200"/>
      <c r="D32" s="200"/>
      <c r="E32" s="200"/>
      <c r="F32" s="201"/>
    </row>
    <row r="33" spans="1:6" x14ac:dyDescent="0.2">
      <c r="A33" s="25" t="s">
        <v>236</v>
      </c>
      <c r="B33" s="117">
        <f>SUM(B30:F30)</f>
        <v>86.18690857802801</v>
      </c>
      <c r="C33" s="40"/>
      <c r="D33" s="40"/>
      <c r="E33" s="40"/>
      <c r="F33" s="17"/>
    </row>
    <row r="34" spans="1:6" x14ac:dyDescent="0.2">
      <c r="A34" s="29" t="s">
        <v>237</v>
      </c>
      <c r="B34" s="118">
        <f>F16</f>
        <v>2199.2082000000005</v>
      </c>
      <c r="C34" s="44"/>
      <c r="D34" s="44"/>
      <c r="E34" s="44"/>
      <c r="F34" s="21"/>
    </row>
    <row r="35" spans="1:6" x14ac:dyDescent="0.2">
      <c r="A35" s="25" t="s">
        <v>238</v>
      </c>
      <c r="B35" s="117">
        <f>F16*B6</f>
        <v>26390.498400000004</v>
      </c>
      <c r="C35" s="40"/>
      <c r="D35" s="40"/>
      <c r="E35" s="40"/>
      <c r="F35" s="17"/>
    </row>
    <row r="36" spans="1:6" x14ac:dyDescent="0.2">
      <c r="A36" s="29" t="s">
        <v>239</v>
      </c>
      <c r="B36" s="118">
        <f>F16*B6/(1+B5)^5</f>
        <v>16386.423182718514</v>
      </c>
      <c r="C36" s="44"/>
      <c r="D36" s="44"/>
      <c r="E36" s="44"/>
      <c r="F36" s="21"/>
    </row>
    <row r="37" spans="1:6" x14ac:dyDescent="0.2">
      <c r="A37" s="48" t="s">
        <v>240</v>
      </c>
      <c r="B37" s="119">
        <f>SUM(B30:F30)+F16*B6/(1+B5)^5</f>
        <v>16472.610091296541</v>
      </c>
      <c r="C37" s="120"/>
      <c r="D37" s="120"/>
      <c r="E37" s="120"/>
      <c r="F37" s="121"/>
    </row>
    <row r="38" spans="1:6" x14ac:dyDescent="0.2">
      <c r="A38" s="122" t="s">
        <v>219</v>
      </c>
      <c r="B38" s="123">
        <v>32000</v>
      </c>
      <c r="C38" s="124"/>
      <c r="D38" s="124"/>
      <c r="E38" s="124"/>
      <c r="F38" s="125"/>
    </row>
    <row r="39" spans="1:6" x14ac:dyDescent="0.2">
      <c r="A39" s="72" t="s">
        <v>241</v>
      </c>
      <c r="B39" s="126">
        <f>B37-32000</f>
        <v>-15527.389908703459</v>
      </c>
      <c r="C39" s="127"/>
      <c r="D39" s="127"/>
      <c r="E39" s="127"/>
      <c r="F39" s="128"/>
    </row>
    <row r="41" spans="1:6" ht="20" customHeight="1" x14ac:dyDescent="0.2">
      <c r="A41" s="199" t="s">
        <v>242</v>
      </c>
      <c r="B41" s="200"/>
      <c r="C41" s="200"/>
      <c r="D41" s="200"/>
      <c r="E41" s="200"/>
      <c r="F41" s="201"/>
    </row>
    <row r="42" spans="1:6" ht="16" customHeight="1" x14ac:dyDescent="0.2">
      <c r="A42" s="229" t="s">
        <v>243</v>
      </c>
      <c r="B42" s="230"/>
      <c r="C42" s="230"/>
      <c r="D42" s="230"/>
      <c r="E42" s="230"/>
      <c r="F42" s="231"/>
    </row>
    <row r="43" spans="1:6" x14ac:dyDescent="0.2">
      <c r="A43" s="129" t="s">
        <v>244</v>
      </c>
      <c r="B43" s="130" t="s">
        <v>245</v>
      </c>
      <c r="C43" s="130" t="s">
        <v>246</v>
      </c>
      <c r="D43" s="130" t="s">
        <v>247</v>
      </c>
      <c r="E43" s="130" t="s">
        <v>248</v>
      </c>
      <c r="F43" s="131" t="s">
        <v>249</v>
      </c>
    </row>
    <row r="44" spans="1:6" x14ac:dyDescent="0.2">
      <c r="A44" s="37" t="s">
        <v>250</v>
      </c>
      <c r="B44" s="132">
        <v>12084.139270145601</v>
      </c>
      <c r="C44" s="132">
        <v>15077.6275655433</v>
      </c>
      <c r="D44" s="132">
        <v>18071.115860940979</v>
      </c>
      <c r="E44" s="132">
        <v>22561.348304037521</v>
      </c>
      <c r="F44" s="133">
        <v>27051.580747134059</v>
      </c>
    </row>
    <row r="45" spans="1:6" x14ac:dyDescent="0.2">
      <c r="A45" s="41" t="s">
        <v>251</v>
      </c>
      <c r="B45" s="132">
        <v>11532.499011281379</v>
      </c>
      <c r="C45" s="132">
        <v>14391.16787965076</v>
      </c>
      <c r="D45" s="132">
        <v>17249.83674802013</v>
      </c>
      <c r="E45" s="132">
        <v>21537.840050574199</v>
      </c>
      <c r="F45" s="133">
        <v>25825.843353128272</v>
      </c>
    </row>
    <row r="46" spans="1:6" x14ac:dyDescent="0.2">
      <c r="A46" s="37" t="s">
        <v>134</v>
      </c>
      <c r="B46" s="132">
        <v>11010.46903039037</v>
      </c>
      <c r="C46" s="132">
        <v>13741.539560843459</v>
      </c>
      <c r="D46" s="132">
        <v>16472.610091296541</v>
      </c>
      <c r="E46" s="132">
        <v>20569.21588697617</v>
      </c>
      <c r="F46" s="133">
        <v>24665.821682655798</v>
      </c>
    </row>
    <row r="47" spans="1:6" x14ac:dyDescent="0.2">
      <c r="A47" s="41" t="s">
        <v>252</v>
      </c>
      <c r="B47" s="132">
        <v>10516.214881901969</v>
      </c>
      <c r="C47" s="132">
        <v>13126.460935836511</v>
      </c>
      <c r="D47" s="132">
        <v>15736.706989771061</v>
      </c>
      <c r="E47" s="132">
        <v>19652.076070672869</v>
      </c>
      <c r="F47" s="133">
        <v>23567.445151574691</v>
      </c>
    </row>
    <row r="48" spans="1:6" x14ac:dyDescent="0.2">
      <c r="A48" s="45" t="s">
        <v>253</v>
      </c>
      <c r="B48" s="134">
        <v>10048.030805048371</v>
      </c>
      <c r="C48" s="134">
        <v>12543.810393041491</v>
      </c>
      <c r="D48" s="134">
        <v>15039.589981034611</v>
      </c>
      <c r="E48" s="134">
        <v>18783.259363024292</v>
      </c>
      <c r="F48" s="135">
        <v>22526.928745013971</v>
      </c>
    </row>
  </sheetData>
  <mergeCells count="14">
    <mergeCell ref="A42:F42"/>
    <mergeCell ref="A13:F13"/>
    <mergeCell ref="A1:F1"/>
    <mergeCell ref="A23:F23"/>
    <mergeCell ref="A32:F32"/>
    <mergeCell ref="C6:F6"/>
    <mergeCell ref="C7:F7"/>
    <mergeCell ref="A18:F18"/>
    <mergeCell ref="A4:F4"/>
    <mergeCell ref="H4:I4"/>
    <mergeCell ref="A3:F3"/>
    <mergeCell ref="C5:F5"/>
    <mergeCell ref="A41:F4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showGridLines="0" workbookViewId="0">
      <selection activeCell="J10" sqref="J10"/>
    </sheetView>
  </sheetViews>
  <sheetFormatPr baseColWidth="10" defaultColWidth="8.83203125" defaultRowHeight="15" x14ac:dyDescent="0.2"/>
  <cols>
    <col min="1" max="1" width="36" customWidth="1"/>
    <col min="2" max="2" width="22" customWidth="1"/>
    <col min="3" max="5" width="18" customWidth="1"/>
    <col min="6" max="6" width="3" customWidth="1"/>
    <col min="7" max="8" width="28" customWidth="1"/>
    <col min="9" max="9" width="16" customWidth="1"/>
  </cols>
  <sheetData>
    <row r="1" spans="1:8" ht="40" customHeight="1" x14ac:dyDescent="0.2">
      <c r="A1" s="204" t="s">
        <v>254</v>
      </c>
      <c r="B1" s="205"/>
      <c r="C1" s="205"/>
      <c r="D1" s="205"/>
      <c r="E1" s="205"/>
      <c r="G1" s="197" t="s">
        <v>257</v>
      </c>
      <c r="H1" s="198"/>
    </row>
    <row r="2" spans="1:8" ht="22" customHeight="1" thickBot="1" x14ac:dyDescent="0.25">
      <c r="A2" s="202" t="s">
        <v>255</v>
      </c>
      <c r="B2" s="203"/>
      <c r="C2" s="203"/>
      <c r="D2" s="203"/>
      <c r="E2" s="203"/>
      <c r="G2" s="87" t="s">
        <v>261</v>
      </c>
      <c r="H2" s="136">
        <v>10000</v>
      </c>
    </row>
    <row r="3" spans="1:8" x14ac:dyDescent="0.2">
      <c r="A3" s="199" t="s">
        <v>256</v>
      </c>
      <c r="B3" s="200"/>
      <c r="C3" s="200"/>
      <c r="D3" s="200"/>
      <c r="E3" s="201"/>
      <c r="G3" s="90" t="s">
        <v>263</v>
      </c>
      <c r="H3" s="97">
        <v>0.15</v>
      </c>
    </row>
    <row r="4" spans="1:8" ht="22" customHeight="1" x14ac:dyDescent="0.2">
      <c r="A4" s="11" t="s">
        <v>111</v>
      </c>
      <c r="B4" s="12" t="s">
        <v>112</v>
      </c>
      <c r="C4" s="12" t="s">
        <v>258</v>
      </c>
      <c r="D4" s="12" t="s">
        <v>259</v>
      </c>
      <c r="E4" s="13" t="s">
        <v>260</v>
      </c>
      <c r="G4" s="87" t="s">
        <v>265</v>
      </c>
      <c r="H4" s="141">
        <v>0.5</v>
      </c>
    </row>
    <row r="5" spans="1:8" ht="17" customHeight="1" x14ac:dyDescent="0.2">
      <c r="A5" s="37" t="s">
        <v>262</v>
      </c>
      <c r="B5" s="137">
        <v>10000</v>
      </c>
      <c r="C5" s="27"/>
      <c r="D5" s="27"/>
      <c r="E5" s="138"/>
      <c r="G5" s="90" t="s">
        <v>267</v>
      </c>
      <c r="H5" s="103">
        <v>750</v>
      </c>
    </row>
    <row r="6" spans="1:8" ht="17" customHeight="1" x14ac:dyDescent="0.2">
      <c r="A6" s="41" t="s">
        <v>264</v>
      </c>
      <c r="B6" s="59">
        <v>0.15</v>
      </c>
      <c r="C6" s="139"/>
      <c r="D6" s="139"/>
      <c r="E6" s="140"/>
      <c r="G6" s="87" t="s">
        <v>269</v>
      </c>
      <c r="H6" s="96">
        <v>49316</v>
      </c>
    </row>
    <row r="7" spans="1:8" ht="17" customHeight="1" x14ac:dyDescent="0.2">
      <c r="A7" s="37" t="s">
        <v>266</v>
      </c>
      <c r="B7" s="142">
        <v>0.5</v>
      </c>
      <c r="C7" s="27"/>
      <c r="D7" s="27"/>
      <c r="E7" s="138"/>
      <c r="G7" s="90" t="s">
        <v>271</v>
      </c>
      <c r="H7" s="97">
        <v>0.05</v>
      </c>
    </row>
    <row r="8" spans="1:8" ht="17" customHeight="1" x14ac:dyDescent="0.2">
      <c r="A8" s="41" t="s">
        <v>268</v>
      </c>
      <c r="B8" s="19">
        <v>750</v>
      </c>
      <c r="C8" s="139"/>
      <c r="D8" s="139"/>
      <c r="E8" s="140"/>
      <c r="G8" s="87" t="s">
        <v>272</v>
      </c>
      <c r="H8" s="96">
        <v>2465.8000000000002</v>
      </c>
    </row>
    <row r="9" spans="1:8" ht="17" customHeight="1" thickBot="1" x14ac:dyDescent="0.25">
      <c r="A9" s="45" t="s">
        <v>270</v>
      </c>
      <c r="B9" s="143"/>
      <c r="C9" s="144">
        <v>150</v>
      </c>
      <c r="D9" s="144">
        <v>450</v>
      </c>
      <c r="E9" s="145">
        <v>750</v>
      </c>
      <c r="G9" s="90" t="s">
        <v>274</v>
      </c>
      <c r="H9" s="97">
        <v>0.1</v>
      </c>
    </row>
    <row r="10" spans="1:8" ht="17" customHeight="1" thickBot="1" x14ac:dyDescent="0.25">
      <c r="G10" s="87" t="s">
        <v>275</v>
      </c>
      <c r="H10" s="96">
        <v>29184.110743801641</v>
      </c>
    </row>
    <row r="11" spans="1:8" ht="17" customHeight="1" thickBot="1" x14ac:dyDescent="0.25">
      <c r="A11" s="199" t="s">
        <v>273</v>
      </c>
      <c r="B11" s="200"/>
      <c r="C11" s="200"/>
      <c r="D11" s="200"/>
      <c r="E11" s="201"/>
      <c r="G11" s="146" t="s">
        <v>277</v>
      </c>
      <c r="H11" s="147">
        <v>2815.8892561983562</v>
      </c>
    </row>
    <row r="12" spans="1:8" ht="17" customHeight="1" x14ac:dyDescent="0.2">
      <c r="A12" s="11" t="s">
        <v>111</v>
      </c>
      <c r="B12" s="12" t="s">
        <v>112</v>
      </c>
      <c r="C12" s="12" t="s">
        <v>258</v>
      </c>
      <c r="D12" s="12" t="s">
        <v>259</v>
      </c>
      <c r="E12" s="13" t="s">
        <v>260</v>
      </c>
    </row>
    <row r="13" spans="1:8" ht="17" customHeight="1" x14ac:dyDescent="0.2">
      <c r="A13" s="25" t="s">
        <v>276</v>
      </c>
      <c r="B13" s="26">
        <v>49316</v>
      </c>
      <c r="C13" s="27"/>
      <c r="D13" s="27"/>
      <c r="E13" s="138"/>
    </row>
    <row r="14" spans="1:8" ht="17" customHeight="1" x14ac:dyDescent="0.2">
      <c r="A14" s="29" t="s">
        <v>278</v>
      </c>
      <c r="B14" s="63">
        <v>0.05</v>
      </c>
      <c r="C14" s="139"/>
      <c r="D14" s="139"/>
      <c r="E14" s="140"/>
    </row>
    <row r="15" spans="1:8" x14ac:dyDescent="0.2">
      <c r="A15" s="25" t="s">
        <v>279</v>
      </c>
      <c r="B15" s="26">
        <v>2465.8000000000002</v>
      </c>
      <c r="C15" s="27"/>
      <c r="D15" s="27"/>
      <c r="E15" s="138"/>
    </row>
    <row r="16" spans="1:8" x14ac:dyDescent="0.2">
      <c r="A16" s="29" t="s">
        <v>280</v>
      </c>
      <c r="B16" s="139"/>
      <c r="C16" s="30">
        <v>739.74</v>
      </c>
      <c r="D16" s="30">
        <v>1726.06</v>
      </c>
      <c r="E16" s="51">
        <v>2465.8000000000002</v>
      </c>
    </row>
    <row r="17" spans="1:5" ht="16" thickBot="1" x14ac:dyDescent="0.25">
      <c r="A17" s="106" t="s">
        <v>281</v>
      </c>
      <c r="B17" s="148"/>
      <c r="C17" s="149">
        <v>889.74</v>
      </c>
      <c r="D17" s="149">
        <v>2176.06</v>
      </c>
      <c r="E17" s="150">
        <v>3215.8</v>
      </c>
    </row>
    <row r="18" spans="1:5" ht="16" thickBot="1" x14ac:dyDescent="0.25"/>
    <row r="19" spans="1:5" x14ac:dyDescent="0.2">
      <c r="A19" s="199" t="s">
        <v>282</v>
      </c>
      <c r="B19" s="200"/>
      <c r="C19" s="200"/>
      <c r="D19" s="200"/>
      <c r="E19" s="201"/>
    </row>
    <row r="20" spans="1:5" ht="20" customHeight="1" x14ac:dyDescent="0.2">
      <c r="A20" s="11" t="s">
        <v>111</v>
      </c>
      <c r="B20" s="12" t="s">
        <v>112</v>
      </c>
      <c r="C20" s="232" t="s">
        <v>283</v>
      </c>
      <c r="D20" s="205"/>
      <c r="E20" s="233"/>
    </row>
    <row r="21" spans="1:5" ht="28" customHeight="1" x14ac:dyDescent="0.2">
      <c r="A21" s="25" t="s">
        <v>284</v>
      </c>
      <c r="B21" s="26">
        <v>5023.3293764087139</v>
      </c>
      <c r="C21" s="235" t="s">
        <v>285</v>
      </c>
      <c r="D21" s="219"/>
      <c r="E21" s="220"/>
    </row>
    <row r="22" spans="1:5" x14ac:dyDescent="0.2">
      <c r="A22" s="29" t="s">
        <v>286</v>
      </c>
      <c r="B22" s="30">
        <v>24160.78136739293</v>
      </c>
      <c r="C22" s="234" t="e">
        <f>(Syn_yr3 / WACC) / (1+WACC)^3</f>
        <v>#NAME?</v>
      </c>
      <c r="D22" s="215"/>
      <c r="E22" s="216"/>
    </row>
    <row r="23" spans="1:5" x14ac:dyDescent="0.2">
      <c r="A23" s="48" t="s">
        <v>287</v>
      </c>
      <c r="B23" s="49">
        <v>29184.110743801641</v>
      </c>
      <c r="C23" s="236" t="s">
        <v>288</v>
      </c>
      <c r="D23" s="237"/>
      <c r="E23" s="238"/>
    </row>
    <row r="24" spans="1:5" x14ac:dyDescent="0.2">
      <c r="A24" s="29" t="s">
        <v>289</v>
      </c>
      <c r="B24" s="30">
        <v>32000</v>
      </c>
      <c r="C24" s="234" t="s">
        <v>116</v>
      </c>
      <c r="D24" s="215"/>
      <c r="E24" s="216"/>
    </row>
    <row r="25" spans="1:5" x14ac:dyDescent="0.2">
      <c r="A25" s="25" t="s">
        <v>290</v>
      </c>
      <c r="B25" s="26">
        <v>2815.8892561983562</v>
      </c>
      <c r="C25" s="235" t="s">
        <v>291</v>
      </c>
      <c r="D25" s="219"/>
      <c r="E25" s="220"/>
    </row>
    <row r="26" spans="1:5" x14ac:dyDescent="0.2">
      <c r="A26" s="48" t="s">
        <v>292</v>
      </c>
      <c r="B26" s="49">
        <v>377.91815050000127</v>
      </c>
      <c r="C26" s="236" t="s">
        <v>293</v>
      </c>
      <c r="D26" s="237"/>
      <c r="E26" s="238"/>
    </row>
    <row r="27" spans="1:5" ht="16" thickBot="1" x14ac:dyDescent="0.25">
      <c r="A27" s="106" t="s">
        <v>294</v>
      </c>
      <c r="B27" s="149">
        <v>4294.6933333333354</v>
      </c>
      <c r="C27" s="239" t="s">
        <v>295</v>
      </c>
      <c r="D27" s="240"/>
      <c r="E27" s="241"/>
    </row>
    <row r="30" spans="1:5" x14ac:dyDescent="0.2">
      <c r="A30" t="s">
        <v>296</v>
      </c>
      <c r="B30" t="s">
        <v>297</v>
      </c>
      <c r="C30" t="s">
        <v>298</v>
      </c>
    </row>
    <row r="31" spans="1:5" ht="1" customHeight="1" x14ac:dyDescent="0.2">
      <c r="A31" t="s">
        <v>258</v>
      </c>
      <c r="B31">
        <v>150</v>
      </c>
      <c r="C31">
        <v>739.74</v>
      </c>
    </row>
    <row r="32" spans="1:5" ht="1" customHeight="1" x14ac:dyDescent="0.2">
      <c r="A32" t="s">
        <v>259</v>
      </c>
      <c r="B32">
        <v>450</v>
      </c>
      <c r="C32">
        <v>1726.06</v>
      </c>
    </row>
    <row r="33" spans="1:3" ht="1" customHeight="1" x14ac:dyDescent="0.2">
      <c r="A33" t="s">
        <v>260</v>
      </c>
      <c r="B33">
        <v>750</v>
      </c>
      <c r="C33">
        <v>2465.8000000000002</v>
      </c>
    </row>
    <row r="34" spans="1:3" ht="1" customHeight="1" x14ac:dyDescent="0.2"/>
  </sheetData>
  <mergeCells count="13">
    <mergeCell ref="C27:E27"/>
    <mergeCell ref="A19:E19"/>
    <mergeCell ref="C26:E26"/>
    <mergeCell ref="A1:E1"/>
    <mergeCell ref="C25:E25"/>
    <mergeCell ref="C23:E23"/>
    <mergeCell ref="A11:E11"/>
    <mergeCell ref="A3:E3"/>
    <mergeCell ref="C20:E20"/>
    <mergeCell ref="C24:E24"/>
    <mergeCell ref="A2:E2"/>
    <mergeCell ref="C22:E22"/>
    <mergeCell ref="C21:E2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0"/>
  <sheetViews>
    <sheetView showGridLines="0" workbookViewId="0"/>
  </sheetViews>
  <sheetFormatPr baseColWidth="10" defaultColWidth="8.83203125" defaultRowHeight="15" x14ac:dyDescent="0.2"/>
  <cols>
    <col min="1" max="1" width="32" customWidth="1"/>
    <col min="2" max="2" width="20" customWidth="1"/>
    <col min="3" max="3" width="18" customWidth="1"/>
    <col min="4" max="4" width="22" customWidth="1"/>
    <col min="5" max="5" width="20" customWidth="1"/>
  </cols>
  <sheetData>
    <row r="1" spans="1:5" ht="40" customHeight="1" x14ac:dyDescent="0.2">
      <c r="A1" s="204" t="s">
        <v>299</v>
      </c>
      <c r="B1" s="205"/>
      <c r="C1" s="205"/>
      <c r="D1" s="205"/>
      <c r="E1" s="205"/>
    </row>
    <row r="2" spans="1:5" ht="22" customHeight="1" x14ac:dyDescent="0.2">
      <c r="A2" s="202" t="s">
        <v>300</v>
      </c>
      <c r="B2" s="203"/>
      <c r="C2" s="203"/>
      <c r="D2" s="203"/>
      <c r="E2" s="203"/>
    </row>
    <row r="3" spans="1:5" ht="4" customHeight="1" x14ac:dyDescent="0.2">
      <c r="A3" s="206"/>
      <c r="B3" s="207"/>
      <c r="C3" s="207"/>
      <c r="D3" s="207"/>
      <c r="E3" s="208"/>
    </row>
    <row r="4" spans="1:5" ht="20" customHeight="1" x14ac:dyDescent="0.2">
      <c r="A4" s="199" t="s">
        <v>301</v>
      </c>
      <c r="B4" s="200"/>
      <c r="C4" s="200"/>
      <c r="D4" s="200"/>
      <c r="E4" s="201"/>
    </row>
    <row r="5" spans="1:5" ht="28" customHeight="1" x14ac:dyDescent="0.2">
      <c r="A5" s="11" t="s">
        <v>302</v>
      </c>
      <c r="B5" s="12" t="s">
        <v>303</v>
      </c>
      <c r="C5" s="12" t="s">
        <v>304</v>
      </c>
      <c r="D5" s="12" t="s">
        <v>305</v>
      </c>
      <c r="E5" s="13" t="s">
        <v>306</v>
      </c>
    </row>
    <row r="6" spans="1:5" x14ac:dyDescent="0.2">
      <c r="A6" s="29" t="s">
        <v>307</v>
      </c>
      <c r="B6" s="30">
        <v>350018</v>
      </c>
      <c r="C6" s="30">
        <v>500</v>
      </c>
      <c r="D6" s="139" t="s">
        <v>60</v>
      </c>
      <c r="E6" s="51">
        <v>350518</v>
      </c>
    </row>
    <row r="7" spans="1:5" x14ac:dyDescent="0.2">
      <c r="A7" s="25" t="s">
        <v>157</v>
      </c>
      <c r="B7" s="26">
        <v>146306</v>
      </c>
      <c r="C7" s="26">
        <v>150</v>
      </c>
      <c r="D7" s="27" t="s">
        <v>60</v>
      </c>
      <c r="E7" s="52">
        <v>146456</v>
      </c>
    </row>
    <row r="8" spans="1:5" x14ac:dyDescent="0.2">
      <c r="A8" s="48" t="s">
        <v>158</v>
      </c>
      <c r="B8" s="49">
        <v>203712</v>
      </c>
      <c r="C8" s="49">
        <v>350</v>
      </c>
      <c r="D8" s="155" t="s">
        <v>60</v>
      </c>
      <c r="E8" s="50">
        <v>204062</v>
      </c>
    </row>
    <row r="9" spans="1:5" x14ac:dyDescent="0.2">
      <c r="A9" s="29" t="s">
        <v>308</v>
      </c>
      <c r="B9" s="156" t="s">
        <v>309</v>
      </c>
      <c r="C9" s="156" t="s">
        <v>310</v>
      </c>
      <c r="D9" s="156" t="s">
        <v>60</v>
      </c>
      <c r="E9" s="157" t="s">
        <v>311</v>
      </c>
    </row>
    <row r="10" spans="1:5" x14ac:dyDescent="0.2">
      <c r="A10" s="25" t="s">
        <v>312</v>
      </c>
      <c r="B10" s="26">
        <v>49316</v>
      </c>
      <c r="C10" s="26">
        <v>200</v>
      </c>
      <c r="D10" s="27" t="s">
        <v>60</v>
      </c>
      <c r="E10" s="52">
        <v>49516</v>
      </c>
    </row>
    <row r="11" spans="1:5" x14ac:dyDescent="0.2">
      <c r="A11" s="29" t="s">
        <v>313</v>
      </c>
      <c r="B11" s="30">
        <v>27573</v>
      </c>
      <c r="C11" s="30">
        <v>200</v>
      </c>
      <c r="D11" s="139" t="s">
        <v>60</v>
      </c>
      <c r="E11" s="51">
        <v>27773</v>
      </c>
    </row>
    <row r="12" spans="1:5" x14ac:dyDescent="0.2">
      <c r="A12" s="25" t="s">
        <v>314</v>
      </c>
      <c r="B12" s="26">
        <v>15846</v>
      </c>
      <c r="C12" s="26">
        <v>50</v>
      </c>
      <c r="D12" s="27" t="s">
        <v>60</v>
      </c>
      <c r="E12" s="52">
        <v>15896</v>
      </c>
    </row>
    <row r="13" spans="1:5" x14ac:dyDescent="0.2">
      <c r="A13" s="48" t="s">
        <v>160</v>
      </c>
      <c r="B13" s="49">
        <v>112390</v>
      </c>
      <c r="C13" s="49">
        <v>-100</v>
      </c>
      <c r="D13" s="158" t="s">
        <v>315</v>
      </c>
      <c r="E13" s="50">
        <v>112090</v>
      </c>
    </row>
    <row r="14" spans="1:5" x14ac:dyDescent="0.2">
      <c r="A14" s="29" t="s">
        <v>316</v>
      </c>
      <c r="B14" s="156" t="s">
        <v>317</v>
      </c>
      <c r="C14" s="156" t="s">
        <v>318</v>
      </c>
      <c r="D14" s="156" t="s">
        <v>60</v>
      </c>
      <c r="E14" s="157" t="s">
        <v>319</v>
      </c>
    </row>
    <row r="15" spans="1:5" x14ac:dyDescent="0.2">
      <c r="A15" s="25" t="s">
        <v>320</v>
      </c>
      <c r="B15" s="26">
        <v>7425</v>
      </c>
      <c r="C15" s="27" t="s">
        <v>60</v>
      </c>
      <c r="D15" s="159" t="s">
        <v>321</v>
      </c>
      <c r="E15" s="52">
        <v>5825</v>
      </c>
    </row>
    <row r="16" spans="1:5" x14ac:dyDescent="0.2">
      <c r="A16" s="29" t="s">
        <v>322</v>
      </c>
      <c r="B16" s="30">
        <v>119815</v>
      </c>
      <c r="C16" s="30">
        <v>-100</v>
      </c>
      <c r="D16" s="30">
        <v>-1800</v>
      </c>
      <c r="E16" s="51">
        <v>117915</v>
      </c>
    </row>
    <row r="17" spans="1:5" x14ac:dyDescent="0.2">
      <c r="A17" s="25" t="s">
        <v>323</v>
      </c>
      <c r="B17" s="26">
        <v>19697</v>
      </c>
      <c r="C17" s="27" t="s">
        <v>60</v>
      </c>
      <c r="D17" s="27" t="s">
        <v>60</v>
      </c>
      <c r="E17" s="52">
        <v>19401</v>
      </c>
    </row>
    <row r="18" spans="1:5" x14ac:dyDescent="0.2">
      <c r="A18" s="106" t="s">
        <v>161</v>
      </c>
      <c r="B18" s="149">
        <v>100118</v>
      </c>
      <c r="C18" s="149">
        <v>-84</v>
      </c>
      <c r="D18" s="149">
        <v>-1505</v>
      </c>
      <c r="E18" s="150">
        <v>98529</v>
      </c>
    </row>
    <row r="20" spans="1:5" ht="20" customHeight="1" x14ac:dyDescent="0.2">
      <c r="A20" s="199" t="s">
        <v>324</v>
      </c>
      <c r="B20" s="200"/>
      <c r="C20" s="200"/>
      <c r="D20" s="200"/>
      <c r="E20" s="201"/>
    </row>
    <row r="21" spans="1:5" ht="28" customHeight="1" x14ac:dyDescent="0.2">
      <c r="A21" s="11" t="s">
        <v>111</v>
      </c>
      <c r="B21" s="12" t="s">
        <v>303</v>
      </c>
      <c r="C21" s="12" t="s">
        <v>325</v>
      </c>
      <c r="D21" s="12" t="s">
        <v>60</v>
      </c>
      <c r="E21" s="13" t="s">
        <v>306</v>
      </c>
    </row>
    <row r="22" spans="1:5" x14ac:dyDescent="0.2">
      <c r="A22" s="25" t="s">
        <v>326</v>
      </c>
      <c r="B22" s="160">
        <v>12450</v>
      </c>
      <c r="C22" s="159" t="s">
        <v>327</v>
      </c>
      <c r="D22" s="159" t="s">
        <v>60</v>
      </c>
      <c r="E22" s="161">
        <v>12450</v>
      </c>
    </row>
    <row r="23" spans="1:5" x14ac:dyDescent="0.2">
      <c r="A23" s="48" t="s">
        <v>328</v>
      </c>
      <c r="B23" s="162">
        <v>8.0399999999999991</v>
      </c>
      <c r="C23" s="163" t="s">
        <v>60</v>
      </c>
      <c r="D23" s="163" t="s">
        <v>60</v>
      </c>
      <c r="E23" s="164">
        <v>7.91</v>
      </c>
    </row>
    <row r="24" spans="1:5" x14ac:dyDescent="0.2">
      <c r="A24" s="122" t="s">
        <v>329</v>
      </c>
      <c r="B24" s="165" t="s">
        <v>60</v>
      </c>
      <c r="C24" s="166" t="s">
        <v>330</v>
      </c>
      <c r="D24" s="166" t="s">
        <v>60</v>
      </c>
      <c r="E24" s="167" t="s">
        <v>60</v>
      </c>
    </row>
    <row r="25" spans="1:5" x14ac:dyDescent="0.2">
      <c r="A25" s="122" t="s">
        <v>331</v>
      </c>
      <c r="B25" s="165" t="s">
        <v>60</v>
      </c>
      <c r="C25" s="166" t="s">
        <v>332</v>
      </c>
      <c r="D25" s="166" t="s">
        <v>60</v>
      </c>
      <c r="E25" s="167" t="s">
        <v>60</v>
      </c>
    </row>
    <row r="26" spans="1:5" x14ac:dyDescent="0.2">
      <c r="A26" s="25" t="s">
        <v>333</v>
      </c>
      <c r="B26" s="159" t="s">
        <v>60</v>
      </c>
      <c r="C26" s="159" t="s">
        <v>334</v>
      </c>
      <c r="D26" s="159" t="s">
        <v>60</v>
      </c>
      <c r="E26" s="168" t="s">
        <v>60</v>
      </c>
    </row>
    <row r="27" spans="1:5" x14ac:dyDescent="0.2">
      <c r="A27" s="29" t="s">
        <v>335</v>
      </c>
      <c r="B27" s="156" t="s">
        <v>60</v>
      </c>
      <c r="C27" s="156" t="s">
        <v>336</v>
      </c>
      <c r="D27" s="156" t="s">
        <v>60</v>
      </c>
      <c r="E27" s="157" t="s">
        <v>60</v>
      </c>
    </row>
    <row r="28" spans="1:5" x14ac:dyDescent="0.2">
      <c r="A28" s="75" t="s">
        <v>337</v>
      </c>
      <c r="B28" s="169" t="s">
        <v>60</v>
      </c>
      <c r="C28" s="170" t="s">
        <v>338</v>
      </c>
      <c r="D28" s="170" t="s">
        <v>60</v>
      </c>
      <c r="E28" s="171" t="s">
        <v>60</v>
      </c>
    </row>
    <row r="30" spans="1:5" ht="20" customHeight="1" x14ac:dyDescent="0.2">
      <c r="A30" s="199" t="s">
        <v>339</v>
      </c>
      <c r="B30" s="200"/>
      <c r="C30" s="200"/>
      <c r="D30" s="200"/>
      <c r="E30" s="201"/>
    </row>
    <row r="31" spans="1:5" ht="28" customHeight="1" x14ac:dyDescent="0.2">
      <c r="A31" s="11" t="s">
        <v>229</v>
      </c>
      <c r="B31" s="12" t="s">
        <v>340</v>
      </c>
      <c r="C31" s="12" t="s">
        <v>341</v>
      </c>
      <c r="D31" s="12" t="s">
        <v>86</v>
      </c>
      <c r="E31" s="13" t="s">
        <v>342</v>
      </c>
    </row>
    <row r="32" spans="1:5" x14ac:dyDescent="0.2">
      <c r="A32" s="25" t="s">
        <v>343</v>
      </c>
      <c r="B32" s="26">
        <v>110174</v>
      </c>
      <c r="C32" s="26">
        <v>-32000</v>
      </c>
      <c r="D32" s="151" t="s">
        <v>344</v>
      </c>
      <c r="E32" s="52">
        <v>78174</v>
      </c>
    </row>
    <row r="33" spans="1:5" x14ac:dyDescent="0.2">
      <c r="A33" s="29" t="s">
        <v>345</v>
      </c>
      <c r="B33" s="30">
        <v>54410</v>
      </c>
      <c r="C33" s="30">
        <v>300</v>
      </c>
      <c r="D33" s="152" t="s">
        <v>346</v>
      </c>
      <c r="E33" s="51">
        <v>54710</v>
      </c>
    </row>
    <row r="34" spans="1:5" x14ac:dyDescent="0.2">
      <c r="A34" s="48" t="s">
        <v>347</v>
      </c>
      <c r="B34" s="49">
        <v>184962</v>
      </c>
      <c r="C34" s="172">
        <v>-31500</v>
      </c>
      <c r="D34" s="153" t="s">
        <v>348</v>
      </c>
      <c r="E34" s="50">
        <v>153462</v>
      </c>
    </row>
    <row r="35" spans="1:5" x14ac:dyDescent="0.2">
      <c r="A35" s="25" t="s">
        <v>349</v>
      </c>
      <c r="B35" s="26">
        <v>177532</v>
      </c>
      <c r="C35" s="26">
        <v>500</v>
      </c>
      <c r="D35" s="151" t="s">
        <v>350</v>
      </c>
      <c r="E35" s="52">
        <v>178032</v>
      </c>
    </row>
    <row r="36" spans="1:5" x14ac:dyDescent="0.2">
      <c r="A36" s="173" t="s">
        <v>27</v>
      </c>
      <c r="B36" s="174">
        <v>32838</v>
      </c>
      <c r="C36" s="175">
        <v>22000</v>
      </c>
      <c r="D36" s="86"/>
      <c r="E36" s="176">
        <v>54838</v>
      </c>
    </row>
    <row r="37" spans="1:5" x14ac:dyDescent="0.2">
      <c r="A37" s="173" t="s">
        <v>29</v>
      </c>
      <c r="B37" s="174">
        <v>2093</v>
      </c>
      <c r="C37" s="175">
        <v>9000</v>
      </c>
      <c r="D37" s="86" t="s">
        <v>351</v>
      </c>
      <c r="E37" s="176">
        <v>11093</v>
      </c>
    </row>
    <row r="38" spans="1:5" x14ac:dyDescent="0.2">
      <c r="A38" s="48" t="s">
        <v>352</v>
      </c>
      <c r="B38" s="49">
        <v>450256</v>
      </c>
      <c r="C38" s="172">
        <v>503</v>
      </c>
      <c r="D38" s="153" t="s">
        <v>353</v>
      </c>
      <c r="E38" s="50">
        <v>450759</v>
      </c>
    </row>
    <row r="39" spans="1:5" x14ac:dyDescent="0.2">
      <c r="A39" s="25" t="s">
        <v>354</v>
      </c>
      <c r="B39" s="26">
        <v>125172</v>
      </c>
      <c r="C39" s="26">
        <v>500</v>
      </c>
      <c r="D39" s="151" t="s">
        <v>355</v>
      </c>
      <c r="E39" s="52">
        <v>125672</v>
      </c>
    </row>
    <row r="40" spans="1:5" x14ac:dyDescent="0.2">
      <c r="A40" s="98" t="s">
        <v>174</v>
      </c>
      <c r="B40" s="23">
        <v>325084</v>
      </c>
      <c r="C40" s="76">
        <v>-500</v>
      </c>
      <c r="D40" s="177" t="s">
        <v>356</v>
      </c>
      <c r="E40" s="178">
        <v>324584</v>
      </c>
    </row>
  </sheetData>
  <mergeCells count="6">
    <mergeCell ref="A30:E30"/>
    <mergeCell ref="A4:E4"/>
    <mergeCell ref="A20:E20"/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7"/>
  <sheetViews>
    <sheetView showGridLines="0" tabSelected="1" topLeftCell="A16" workbookViewId="0">
      <selection activeCell="I24" sqref="I24:N31"/>
    </sheetView>
  </sheetViews>
  <sheetFormatPr baseColWidth="10" defaultColWidth="8.83203125" defaultRowHeight="15" x14ac:dyDescent="0.2"/>
  <cols>
    <col min="1" max="1" width="28" customWidth="1"/>
    <col min="2" max="5" width="14" customWidth="1"/>
    <col min="6" max="6" width="18" customWidth="1"/>
    <col min="7" max="7" width="3" customWidth="1"/>
    <col min="8" max="8" width="28" customWidth="1"/>
    <col min="9" max="9" width="16" customWidth="1"/>
  </cols>
  <sheetData>
    <row r="1" spans="1:6" ht="40" customHeight="1" x14ac:dyDescent="0.2">
      <c r="A1" s="204" t="s">
        <v>357</v>
      </c>
      <c r="B1" s="205"/>
      <c r="C1" s="205"/>
      <c r="D1" s="205"/>
      <c r="E1" s="205"/>
      <c r="F1" s="205"/>
    </row>
    <row r="2" spans="1:6" ht="22" customHeight="1" x14ac:dyDescent="0.2">
      <c r="A2" s="202" t="s">
        <v>358</v>
      </c>
      <c r="B2" s="203"/>
      <c r="C2" s="203"/>
      <c r="D2" s="203"/>
      <c r="E2" s="203"/>
      <c r="F2" s="203"/>
    </row>
    <row r="3" spans="1:6" ht="4" customHeight="1" x14ac:dyDescent="0.2">
      <c r="A3" s="206"/>
      <c r="B3" s="207"/>
      <c r="C3" s="207"/>
      <c r="D3" s="207"/>
      <c r="E3" s="207"/>
      <c r="F3" s="208"/>
    </row>
    <row r="4" spans="1:6" ht="20" customHeight="1" x14ac:dyDescent="0.2">
      <c r="A4" s="199" t="s">
        <v>359</v>
      </c>
      <c r="B4" s="200"/>
      <c r="C4" s="200"/>
      <c r="D4" s="200"/>
      <c r="E4" s="200"/>
      <c r="F4" s="201"/>
    </row>
    <row r="5" spans="1:6" ht="28" customHeight="1" x14ac:dyDescent="0.2">
      <c r="A5" s="11" t="s">
        <v>360</v>
      </c>
      <c r="B5" s="12" t="s">
        <v>361</v>
      </c>
      <c r="C5" s="12" t="s">
        <v>362</v>
      </c>
      <c r="D5" s="12" t="s">
        <v>363</v>
      </c>
      <c r="E5" s="12" t="s">
        <v>364</v>
      </c>
      <c r="F5" s="13" t="s">
        <v>86</v>
      </c>
    </row>
    <row r="6" spans="1:6" ht="26" x14ac:dyDescent="0.2">
      <c r="A6" s="37" t="s">
        <v>365</v>
      </c>
      <c r="B6" s="26">
        <v>8027</v>
      </c>
      <c r="C6" s="57">
        <v>0.16</v>
      </c>
      <c r="D6" s="78">
        <v>16.399999999999999</v>
      </c>
      <c r="E6" s="179">
        <v>0.19500000000000001</v>
      </c>
      <c r="F6" s="246" t="s">
        <v>366</v>
      </c>
    </row>
    <row r="7" spans="1:6" ht="26" x14ac:dyDescent="0.2">
      <c r="A7" s="41" t="s">
        <v>367</v>
      </c>
      <c r="B7" s="30">
        <v>3806</v>
      </c>
      <c r="C7" s="63">
        <v>0.28999999999999998</v>
      </c>
      <c r="D7" s="80">
        <v>23.6</v>
      </c>
      <c r="E7" s="180">
        <v>3.0000000000000001E-3</v>
      </c>
      <c r="F7" s="247" t="s">
        <v>366</v>
      </c>
    </row>
    <row r="8" spans="1:6" ht="26" x14ac:dyDescent="0.2">
      <c r="A8" s="37" t="s">
        <v>368</v>
      </c>
      <c r="B8" s="26">
        <v>2168</v>
      </c>
      <c r="C8" s="57">
        <v>0.34</v>
      </c>
      <c r="D8" s="78">
        <v>12.9</v>
      </c>
      <c r="E8" s="179">
        <v>4.4999999999999998E-2</v>
      </c>
      <c r="F8" s="246" t="s">
        <v>366</v>
      </c>
    </row>
    <row r="9" spans="1:6" ht="26" x14ac:dyDescent="0.2">
      <c r="A9" s="41" t="s">
        <v>369</v>
      </c>
      <c r="B9" s="30">
        <v>5305</v>
      </c>
      <c r="C9" s="63">
        <v>0.1</v>
      </c>
      <c r="D9" s="80">
        <v>10.4</v>
      </c>
      <c r="E9" s="180">
        <v>0.27800000000000002</v>
      </c>
      <c r="F9" s="247" t="s">
        <v>366</v>
      </c>
    </row>
    <row r="10" spans="1:6" ht="26" x14ac:dyDescent="0.2">
      <c r="A10" s="37" t="s">
        <v>370</v>
      </c>
      <c r="B10" s="26">
        <v>1065</v>
      </c>
      <c r="C10" s="57">
        <v>0.33</v>
      </c>
      <c r="D10" s="78">
        <v>8.5</v>
      </c>
      <c r="E10" s="181">
        <v>-6.2E-2</v>
      </c>
      <c r="F10" s="246" t="s">
        <v>366</v>
      </c>
    </row>
    <row r="11" spans="1:6" ht="26" x14ac:dyDescent="0.2">
      <c r="A11" s="41" t="s">
        <v>371</v>
      </c>
      <c r="B11" s="30">
        <v>1625</v>
      </c>
      <c r="C11" s="63">
        <v>0.28000000000000003</v>
      </c>
      <c r="D11" s="80">
        <v>24.6</v>
      </c>
      <c r="E11" s="182">
        <v>-1.6E-2</v>
      </c>
      <c r="F11" s="247" t="s">
        <v>366</v>
      </c>
    </row>
    <row r="12" spans="1:6" ht="26" x14ac:dyDescent="0.2">
      <c r="A12" s="37" t="s">
        <v>372</v>
      </c>
      <c r="B12" s="26">
        <v>2597</v>
      </c>
      <c r="C12" s="57">
        <v>0.19</v>
      </c>
      <c r="D12" s="78">
        <v>5.4</v>
      </c>
      <c r="E12" s="179">
        <v>1.4E-2</v>
      </c>
      <c r="F12" s="246" t="s">
        <v>366</v>
      </c>
    </row>
    <row r="13" spans="1:6" ht="26" x14ac:dyDescent="0.2">
      <c r="A13" s="183" t="s">
        <v>373</v>
      </c>
      <c r="B13" s="123">
        <v>500</v>
      </c>
      <c r="C13" s="184">
        <v>0.8</v>
      </c>
      <c r="D13" s="185">
        <v>64</v>
      </c>
      <c r="E13" s="186">
        <v>-0.2</v>
      </c>
      <c r="F13" s="248" t="s">
        <v>374</v>
      </c>
    </row>
    <row r="14" spans="1:6" ht="27" thickBot="1" x14ac:dyDescent="0.25">
      <c r="A14" s="106" t="s">
        <v>375</v>
      </c>
      <c r="B14" s="154"/>
      <c r="C14" s="154"/>
      <c r="D14" s="187">
        <v>12.9</v>
      </c>
      <c r="E14" s="154"/>
      <c r="F14" s="249" t="s">
        <v>376</v>
      </c>
    </row>
    <row r="15" spans="1:6" ht="16" thickBot="1" x14ac:dyDescent="0.25"/>
    <row r="16" spans="1:6" ht="20" customHeight="1" x14ac:dyDescent="0.2">
      <c r="A16" s="199" t="s">
        <v>377</v>
      </c>
      <c r="B16" s="200"/>
      <c r="C16" s="200"/>
      <c r="D16" s="200"/>
      <c r="E16" s="200"/>
      <c r="F16" s="201"/>
    </row>
    <row r="17" spans="1:14" ht="28" customHeight="1" x14ac:dyDescent="0.2">
      <c r="A17" s="11" t="s">
        <v>378</v>
      </c>
      <c r="B17" s="12" t="s">
        <v>296</v>
      </c>
      <c r="C17" s="12" t="s">
        <v>379</v>
      </c>
      <c r="D17" s="12" t="s">
        <v>380</v>
      </c>
      <c r="E17" s="232" t="s">
        <v>86</v>
      </c>
      <c r="F17" s="233"/>
    </row>
    <row r="18" spans="1:14" x14ac:dyDescent="0.2">
      <c r="A18" s="183" t="s">
        <v>381</v>
      </c>
      <c r="B18" s="188">
        <v>2025</v>
      </c>
      <c r="C18" s="123">
        <v>32000</v>
      </c>
      <c r="D18" s="185">
        <v>64</v>
      </c>
      <c r="E18" s="243" t="s">
        <v>382</v>
      </c>
      <c r="F18" s="244"/>
    </row>
    <row r="19" spans="1:14" x14ac:dyDescent="0.2">
      <c r="A19" s="29" t="s">
        <v>383</v>
      </c>
      <c r="B19" s="20">
        <v>2025</v>
      </c>
      <c r="C19" s="30">
        <v>25000</v>
      </c>
      <c r="D19" s="80">
        <v>17.8</v>
      </c>
      <c r="E19" s="234" t="s">
        <v>384</v>
      </c>
      <c r="F19" s="216"/>
    </row>
    <row r="20" spans="1:14" x14ac:dyDescent="0.2">
      <c r="A20" s="25" t="s">
        <v>385</v>
      </c>
      <c r="B20" s="16">
        <v>2024</v>
      </c>
      <c r="C20" s="26">
        <v>28000</v>
      </c>
      <c r="D20" s="78">
        <v>7.4</v>
      </c>
      <c r="E20" s="235" t="s">
        <v>386</v>
      </c>
      <c r="F20" s="220"/>
    </row>
    <row r="21" spans="1:14" x14ac:dyDescent="0.2">
      <c r="A21" s="29" t="s">
        <v>387</v>
      </c>
      <c r="B21" s="20">
        <v>2022</v>
      </c>
      <c r="C21" s="30">
        <v>5400</v>
      </c>
      <c r="D21" s="80">
        <v>8.1999999999999993</v>
      </c>
      <c r="E21" s="234" t="s">
        <v>388</v>
      </c>
      <c r="F21" s="216"/>
      <c r="I21" s="252"/>
    </row>
    <row r="22" spans="1:14" x14ac:dyDescent="0.2">
      <c r="A22" s="189" t="s">
        <v>389</v>
      </c>
      <c r="B22" s="190">
        <v>2019</v>
      </c>
      <c r="C22" s="144">
        <v>9000</v>
      </c>
      <c r="D22" s="191">
        <v>5.2</v>
      </c>
      <c r="E22" s="245" t="s">
        <v>390</v>
      </c>
      <c r="F22" s="213"/>
    </row>
    <row r="23" spans="1:14" ht="16" thickBot="1" x14ac:dyDescent="0.25"/>
    <row r="24" spans="1:14" ht="20" customHeight="1" x14ac:dyDescent="0.2">
      <c r="A24" s="262" t="s">
        <v>391</v>
      </c>
      <c r="B24" s="263"/>
      <c r="C24" s="263"/>
      <c r="D24" s="263"/>
      <c r="E24" s="263"/>
      <c r="F24" s="263"/>
      <c r="G24" s="263"/>
      <c r="H24" s="264"/>
      <c r="I24" s="261"/>
      <c r="J24" s="261"/>
      <c r="K24" s="261"/>
      <c r="L24" s="261"/>
      <c r="M24" s="261"/>
      <c r="N24" s="261"/>
    </row>
    <row r="25" spans="1:14" ht="28" x14ac:dyDescent="0.2">
      <c r="A25" s="265" t="s">
        <v>392</v>
      </c>
      <c r="B25" s="12" t="s">
        <v>393</v>
      </c>
      <c r="C25" s="12" t="s">
        <v>394</v>
      </c>
      <c r="D25" s="12" t="s">
        <v>395</v>
      </c>
      <c r="E25" s="12" t="s">
        <v>396</v>
      </c>
      <c r="F25" s="250" t="s">
        <v>86</v>
      </c>
      <c r="G25" s="251"/>
      <c r="H25" s="266"/>
      <c r="I25" s="261"/>
      <c r="J25" s="261"/>
      <c r="K25" s="261"/>
      <c r="L25" s="261"/>
      <c r="M25" s="261"/>
      <c r="N25" s="261"/>
    </row>
    <row r="26" spans="1:14" ht="30" customHeight="1" x14ac:dyDescent="0.2">
      <c r="A26" s="267" t="s">
        <v>397</v>
      </c>
      <c r="B26" s="192">
        <v>4</v>
      </c>
      <c r="C26" s="192">
        <v>2</v>
      </c>
      <c r="D26" s="193">
        <v>8</v>
      </c>
      <c r="E26" s="193" t="s">
        <v>398</v>
      </c>
      <c r="F26" s="253" t="s">
        <v>399</v>
      </c>
      <c r="G26" s="254"/>
      <c r="H26" s="268"/>
      <c r="I26" s="261"/>
      <c r="J26" s="261"/>
      <c r="K26" s="261"/>
      <c r="L26" s="261"/>
      <c r="M26" s="261"/>
      <c r="N26" s="261"/>
    </row>
    <row r="27" spans="1:14" ht="30" customHeight="1" x14ac:dyDescent="0.2">
      <c r="A27" s="269" t="s">
        <v>400</v>
      </c>
      <c r="B27" s="188">
        <v>4</v>
      </c>
      <c r="C27" s="188">
        <v>4</v>
      </c>
      <c r="D27" s="194">
        <v>16</v>
      </c>
      <c r="E27" s="194" t="s">
        <v>401</v>
      </c>
      <c r="F27" s="255" t="s">
        <v>411</v>
      </c>
      <c r="G27" s="256"/>
      <c r="H27" s="270"/>
      <c r="I27" s="261"/>
      <c r="J27" s="261"/>
      <c r="K27" s="261"/>
      <c r="L27" s="261"/>
      <c r="M27" s="261"/>
      <c r="N27" s="261"/>
    </row>
    <row r="28" spans="1:14" ht="30" customHeight="1" x14ac:dyDescent="0.2">
      <c r="A28" s="271" t="s">
        <v>403</v>
      </c>
      <c r="B28" s="195">
        <v>3</v>
      </c>
      <c r="C28" s="195">
        <v>4</v>
      </c>
      <c r="D28" s="196">
        <v>12</v>
      </c>
      <c r="E28" s="196" t="s">
        <v>404</v>
      </c>
      <c r="F28" s="255" t="s">
        <v>405</v>
      </c>
      <c r="G28" s="256"/>
      <c r="H28" s="270"/>
      <c r="I28" s="261"/>
      <c r="J28" s="261"/>
      <c r="K28" s="261"/>
      <c r="L28" s="261"/>
      <c r="M28" s="261"/>
      <c r="N28" s="261"/>
    </row>
    <row r="29" spans="1:14" ht="30" customHeight="1" x14ac:dyDescent="0.2">
      <c r="A29" s="271" t="s">
        <v>406</v>
      </c>
      <c r="B29" s="195">
        <v>4</v>
      </c>
      <c r="C29" s="195">
        <v>3</v>
      </c>
      <c r="D29" s="196">
        <v>12</v>
      </c>
      <c r="E29" s="196" t="s">
        <v>404</v>
      </c>
      <c r="F29" s="257" t="s">
        <v>407</v>
      </c>
      <c r="G29" s="258"/>
      <c r="H29" s="272"/>
      <c r="I29" s="261"/>
      <c r="J29" s="261"/>
      <c r="K29" s="261"/>
      <c r="L29" s="261"/>
      <c r="M29" s="261"/>
      <c r="N29" s="261"/>
    </row>
    <row r="30" spans="1:14" ht="30" customHeight="1" x14ac:dyDescent="0.2">
      <c r="A30" s="269" t="s">
        <v>408</v>
      </c>
      <c r="B30" s="188">
        <v>5</v>
      </c>
      <c r="C30" s="188">
        <v>3</v>
      </c>
      <c r="D30" s="194">
        <v>15</v>
      </c>
      <c r="E30" s="194" t="s">
        <v>401</v>
      </c>
      <c r="F30" s="257" t="s">
        <v>409</v>
      </c>
      <c r="G30" s="258"/>
      <c r="H30" s="272"/>
      <c r="I30" s="261"/>
      <c r="J30" s="261"/>
      <c r="K30" s="261"/>
      <c r="L30" s="261"/>
      <c r="M30" s="261"/>
      <c r="N30" s="261"/>
    </row>
    <row r="31" spans="1:14" ht="30" customHeight="1" x14ac:dyDescent="0.2">
      <c r="A31" s="267" t="s">
        <v>410</v>
      </c>
      <c r="B31" s="192">
        <v>3</v>
      </c>
      <c r="C31" s="192">
        <v>3</v>
      </c>
      <c r="D31" s="193">
        <v>9</v>
      </c>
      <c r="E31" s="193" t="s">
        <v>398</v>
      </c>
      <c r="F31" s="253" t="s">
        <v>402</v>
      </c>
      <c r="G31" s="254"/>
      <c r="H31" s="268"/>
      <c r="I31" s="261"/>
      <c r="J31" s="261"/>
      <c r="K31" s="261"/>
      <c r="L31" s="261"/>
      <c r="M31" s="261"/>
      <c r="N31" s="261"/>
    </row>
    <row r="32" spans="1:14" ht="30" customHeight="1" thickBot="1" x14ac:dyDescent="0.25">
      <c r="A32" s="273" t="s">
        <v>412</v>
      </c>
      <c r="B32" s="274">
        <v>3</v>
      </c>
      <c r="C32" s="274">
        <v>2</v>
      </c>
      <c r="D32" s="275">
        <v>6</v>
      </c>
      <c r="E32" s="275" t="s">
        <v>398</v>
      </c>
      <c r="F32" s="259" t="s">
        <v>413</v>
      </c>
      <c r="G32" s="260"/>
      <c r="H32" s="276"/>
    </row>
    <row r="34" spans="1:8" x14ac:dyDescent="0.2">
      <c r="A34" s="242" t="s">
        <v>414</v>
      </c>
      <c r="B34" s="242"/>
      <c r="C34" s="242"/>
      <c r="D34" s="242"/>
      <c r="E34" s="242"/>
      <c r="F34" s="242"/>
    </row>
    <row r="36" spans="1:8" ht="1" customHeight="1" x14ac:dyDescent="0.2">
      <c r="A36" t="s">
        <v>365</v>
      </c>
      <c r="B36" t="s">
        <v>367</v>
      </c>
      <c r="C36" t="s">
        <v>368</v>
      </c>
      <c r="D36" t="s">
        <v>369</v>
      </c>
      <c r="E36" t="s">
        <v>370</v>
      </c>
      <c r="F36" t="s">
        <v>371</v>
      </c>
      <c r="G36" t="s">
        <v>372</v>
      </c>
      <c r="H36" t="s">
        <v>415</v>
      </c>
    </row>
    <row r="37" spans="1:8" ht="1" customHeight="1" x14ac:dyDescent="0.2">
      <c r="A37">
        <v>16.399999999999999</v>
      </c>
      <c r="B37">
        <v>23.6</v>
      </c>
      <c r="C37">
        <v>12.9</v>
      </c>
      <c r="D37">
        <v>10.4</v>
      </c>
      <c r="E37">
        <v>8.5</v>
      </c>
      <c r="F37">
        <v>24.6</v>
      </c>
      <c r="G37">
        <v>5.4</v>
      </c>
      <c r="H37">
        <v>64</v>
      </c>
    </row>
  </sheetData>
  <mergeCells count="22">
    <mergeCell ref="I24:N31"/>
    <mergeCell ref="F25:H25"/>
    <mergeCell ref="A24:H24"/>
    <mergeCell ref="A2:F2"/>
    <mergeCell ref="A16:F16"/>
    <mergeCell ref="E20:F20"/>
    <mergeCell ref="A1:F1"/>
    <mergeCell ref="E19:F19"/>
    <mergeCell ref="A34:F34"/>
    <mergeCell ref="A4:F4"/>
    <mergeCell ref="A3:F3"/>
    <mergeCell ref="E17:F17"/>
    <mergeCell ref="E18:F18"/>
    <mergeCell ref="E21:F21"/>
    <mergeCell ref="E22:F22"/>
    <mergeCell ref="F26:H26"/>
    <mergeCell ref="F31:H31"/>
    <mergeCell ref="F28:H28"/>
    <mergeCell ref="F29:H29"/>
    <mergeCell ref="F30:H30"/>
    <mergeCell ref="F27:H27"/>
    <mergeCell ref="F32:H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Deal Overview</vt:lpstr>
      <vt:lpstr>Alphabet Financials</vt:lpstr>
      <vt:lpstr>DCF Model</vt:lpstr>
      <vt:lpstr>Synergies</vt:lpstr>
      <vt:lpstr>Pro Forma</vt:lpstr>
      <vt:lpstr>Comps &amp; 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rhea0910@student.ubc.ca</cp:lastModifiedBy>
  <dcterms:created xsi:type="dcterms:W3CDTF">2026-04-14T10:23:41Z</dcterms:created>
  <dcterms:modified xsi:type="dcterms:W3CDTF">2026-04-17T02:34:11Z</dcterms:modified>
</cp:coreProperties>
</file>